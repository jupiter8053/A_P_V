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2136386DC9E958A897FCF84ACCDC1D42CEDCF3B7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4-2-2" sheetId="1" r:id="rId1"/>
    <sheet name="4-4-4" sheetId="2" r:id="rId2"/>
    <sheet name="4-4-4-4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2" i="3" l="1"/>
  <c r="I42" i="3"/>
  <c r="K42" i="3"/>
  <c r="D42" i="3"/>
  <c r="E42" i="3"/>
  <c r="F42" i="3"/>
  <c r="G42" i="3"/>
  <c r="L42" i="3"/>
  <c r="M42" i="3"/>
  <c r="O42" i="3"/>
  <c r="R42" i="3"/>
  <c r="Q42" i="3"/>
  <c r="P42" i="3"/>
  <c r="N42" i="3"/>
  <c r="J42" i="3"/>
  <c r="H41" i="3"/>
  <c r="I41" i="3"/>
  <c r="K41" i="3"/>
  <c r="D41" i="3"/>
  <c r="E41" i="3"/>
  <c r="F41" i="3"/>
  <c r="G41" i="3"/>
  <c r="L41" i="3"/>
  <c r="M41" i="3"/>
  <c r="O41" i="3"/>
  <c r="R41" i="3"/>
  <c r="Q41" i="3"/>
  <c r="P41" i="3"/>
  <c r="N41" i="3"/>
  <c r="J41" i="3"/>
  <c r="H40" i="3"/>
  <c r="I40" i="3"/>
  <c r="K40" i="3"/>
  <c r="D40" i="3"/>
  <c r="E40" i="3"/>
  <c r="F40" i="3"/>
  <c r="G40" i="3"/>
  <c r="L40" i="3"/>
  <c r="M40" i="3"/>
  <c r="O40" i="3"/>
  <c r="R40" i="3"/>
  <c r="Q40" i="3"/>
  <c r="P40" i="3"/>
  <c r="N40" i="3"/>
  <c r="J40" i="3"/>
  <c r="H39" i="3"/>
  <c r="I39" i="3"/>
  <c r="K39" i="3"/>
  <c r="D39" i="3"/>
  <c r="E39" i="3"/>
  <c r="F39" i="3"/>
  <c r="G39" i="3"/>
  <c r="L39" i="3"/>
  <c r="M39" i="3"/>
  <c r="O39" i="3"/>
  <c r="R39" i="3"/>
  <c r="Q39" i="3"/>
  <c r="P39" i="3"/>
  <c r="N39" i="3"/>
  <c r="J39" i="3"/>
  <c r="H38" i="3"/>
  <c r="I38" i="3"/>
  <c r="K38" i="3"/>
  <c r="D38" i="3"/>
  <c r="E38" i="3"/>
  <c r="F38" i="3"/>
  <c r="G38" i="3"/>
  <c r="L38" i="3"/>
  <c r="M38" i="3"/>
  <c r="O38" i="3"/>
  <c r="R38" i="3"/>
  <c r="Q38" i="3"/>
  <c r="P38" i="3"/>
  <c r="N38" i="3"/>
  <c r="J38" i="3"/>
  <c r="H37" i="3"/>
  <c r="I37" i="3"/>
  <c r="K37" i="3"/>
  <c r="D37" i="3"/>
  <c r="E37" i="3"/>
  <c r="F37" i="3"/>
  <c r="G37" i="3"/>
  <c r="L37" i="3"/>
  <c r="M37" i="3"/>
  <c r="O37" i="3"/>
  <c r="R37" i="3"/>
  <c r="Q37" i="3"/>
  <c r="P37" i="3"/>
  <c r="N37" i="3"/>
  <c r="J37" i="3"/>
  <c r="H36" i="3"/>
  <c r="I36" i="3"/>
  <c r="K36" i="3"/>
  <c r="D36" i="3"/>
  <c r="E36" i="3"/>
  <c r="F36" i="3"/>
  <c r="G36" i="3"/>
  <c r="L36" i="3"/>
  <c r="M36" i="3"/>
  <c r="O36" i="3"/>
  <c r="R36" i="3"/>
  <c r="Q36" i="3"/>
  <c r="P36" i="3"/>
  <c r="N36" i="3"/>
  <c r="J36" i="3"/>
  <c r="H42" i="2"/>
  <c r="I42" i="2"/>
  <c r="K42" i="2"/>
  <c r="D42" i="2"/>
  <c r="E42" i="2"/>
  <c r="F42" i="2"/>
  <c r="G42" i="2"/>
  <c r="L42" i="2"/>
  <c r="M42" i="2"/>
  <c r="O42" i="2"/>
  <c r="R42" i="2"/>
  <c r="Q42" i="2"/>
  <c r="P42" i="2"/>
  <c r="N42" i="2"/>
  <c r="J42" i="2"/>
  <c r="H41" i="2"/>
  <c r="I41" i="2"/>
  <c r="K41" i="2"/>
  <c r="D41" i="2"/>
  <c r="E41" i="2"/>
  <c r="F41" i="2"/>
  <c r="G41" i="2"/>
  <c r="L41" i="2"/>
  <c r="M41" i="2"/>
  <c r="O41" i="2"/>
  <c r="R41" i="2"/>
  <c r="Q41" i="2"/>
  <c r="P41" i="2"/>
  <c r="N41" i="2"/>
  <c r="J41" i="2"/>
  <c r="H40" i="2"/>
  <c r="I40" i="2"/>
  <c r="K40" i="2"/>
  <c r="D40" i="2"/>
  <c r="E40" i="2"/>
  <c r="F40" i="2"/>
  <c r="G40" i="2"/>
  <c r="L40" i="2"/>
  <c r="M40" i="2"/>
  <c r="O40" i="2"/>
  <c r="R40" i="2"/>
  <c r="Q40" i="2"/>
  <c r="P40" i="2"/>
  <c r="N40" i="2"/>
  <c r="J40" i="2"/>
  <c r="H39" i="2"/>
  <c r="I39" i="2"/>
  <c r="K39" i="2"/>
  <c r="D39" i="2"/>
  <c r="E39" i="2"/>
  <c r="F39" i="2"/>
  <c r="G39" i="2"/>
  <c r="L39" i="2"/>
  <c r="M39" i="2"/>
  <c r="O39" i="2"/>
  <c r="R39" i="2"/>
  <c r="Q39" i="2"/>
  <c r="P39" i="2"/>
  <c r="N39" i="2"/>
  <c r="J39" i="2"/>
  <c r="H38" i="2"/>
  <c r="I38" i="2"/>
  <c r="K38" i="2"/>
  <c r="D38" i="2"/>
  <c r="E38" i="2"/>
  <c r="F38" i="2"/>
  <c r="G38" i="2"/>
  <c r="L38" i="2"/>
  <c r="M38" i="2"/>
  <c r="O38" i="2"/>
  <c r="R38" i="2"/>
  <c r="Q38" i="2"/>
  <c r="P38" i="2"/>
  <c r="N38" i="2"/>
  <c r="J38" i="2"/>
  <c r="H37" i="2"/>
  <c r="I37" i="2"/>
  <c r="K37" i="2"/>
  <c r="D37" i="2"/>
  <c r="E37" i="2"/>
  <c r="F37" i="2"/>
  <c r="G37" i="2"/>
  <c r="L37" i="2"/>
  <c r="M37" i="2"/>
  <c r="O37" i="2"/>
  <c r="R37" i="2"/>
  <c r="Q37" i="2"/>
  <c r="P37" i="2"/>
  <c r="N37" i="2"/>
  <c r="J37" i="2"/>
  <c r="H36" i="2"/>
  <c r="I36" i="2"/>
  <c r="K36" i="2"/>
  <c r="D36" i="2"/>
  <c r="E36" i="2"/>
  <c r="F36" i="2"/>
  <c r="G36" i="2"/>
  <c r="L36" i="2"/>
  <c r="M36" i="2"/>
  <c r="O36" i="2"/>
  <c r="R36" i="2"/>
  <c r="Q36" i="2"/>
  <c r="P36" i="2"/>
  <c r="N36" i="2"/>
  <c r="J36" i="2"/>
  <c r="H42" i="1"/>
  <c r="I42" i="1"/>
  <c r="K42" i="1"/>
  <c r="D42" i="1"/>
  <c r="E42" i="1"/>
  <c r="F42" i="1"/>
  <c r="G42" i="1"/>
  <c r="L42" i="1"/>
  <c r="M42" i="1"/>
  <c r="O42" i="1"/>
  <c r="R42" i="1"/>
  <c r="Q42" i="1"/>
  <c r="P42" i="1"/>
  <c r="N42" i="1"/>
  <c r="J42" i="1"/>
  <c r="H41" i="1"/>
  <c r="I41" i="1"/>
  <c r="K41" i="1"/>
  <c r="D41" i="1"/>
  <c r="E41" i="1"/>
  <c r="F41" i="1"/>
  <c r="G41" i="1"/>
  <c r="L41" i="1"/>
  <c r="M41" i="1"/>
  <c r="O41" i="1"/>
  <c r="R41" i="1"/>
  <c r="Q41" i="1"/>
  <c r="P41" i="1"/>
  <c r="N41" i="1"/>
  <c r="J41" i="1"/>
  <c r="H40" i="1"/>
  <c r="I40" i="1"/>
  <c r="K40" i="1"/>
  <c r="D40" i="1"/>
  <c r="E40" i="1"/>
  <c r="F40" i="1"/>
  <c r="G40" i="1"/>
  <c r="L40" i="1"/>
  <c r="M40" i="1"/>
  <c r="O40" i="1"/>
  <c r="R40" i="1"/>
  <c r="Q40" i="1"/>
  <c r="P40" i="1"/>
  <c r="N40" i="1"/>
  <c r="J40" i="1"/>
  <c r="H39" i="1"/>
  <c r="I39" i="1"/>
  <c r="K39" i="1"/>
  <c r="D39" i="1"/>
  <c r="E39" i="1"/>
  <c r="F39" i="1"/>
  <c r="G39" i="1"/>
  <c r="L39" i="1"/>
  <c r="M39" i="1"/>
  <c r="O39" i="1"/>
  <c r="R39" i="1"/>
  <c r="Q39" i="1"/>
  <c r="P39" i="1"/>
  <c r="N39" i="1"/>
  <c r="J39" i="1"/>
  <c r="H38" i="1"/>
  <c r="I38" i="1"/>
  <c r="K38" i="1"/>
  <c r="D38" i="1"/>
  <c r="E38" i="1"/>
  <c r="F38" i="1"/>
  <c r="G38" i="1"/>
  <c r="L38" i="1"/>
  <c r="M38" i="1"/>
  <c r="O38" i="1"/>
  <c r="R38" i="1"/>
  <c r="Q38" i="1"/>
  <c r="P38" i="1"/>
  <c r="N38" i="1"/>
  <c r="J38" i="1"/>
  <c r="H37" i="1"/>
  <c r="I37" i="1"/>
  <c r="K37" i="1"/>
  <c r="D37" i="1"/>
  <c r="E37" i="1"/>
  <c r="F37" i="1"/>
  <c r="G37" i="1"/>
  <c r="L37" i="1"/>
  <c r="M37" i="1"/>
  <c r="O37" i="1"/>
  <c r="R37" i="1"/>
  <c r="Q37" i="1"/>
  <c r="P37" i="1"/>
  <c r="N37" i="1"/>
  <c r="J37" i="1"/>
  <c r="H36" i="1"/>
  <c r="I36" i="1"/>
  <c r="K36" i="1"/>
  <c r="D36" i="1"/>
  <c r="E36" i="1"/>
  <c r="F36" i="1"/>
  <c r="G36" i="1"/>
  <c r="L36" i="1"/>
  <c r="M36" i="1"/>
  <c r="O36" i="1"/>
  <c r="R36" i="1"/>
  <c r="Q36" i="1"/>
  <c r="P36" i="1"/>
  <c r="N36" i="1"/>
  <c r="J36" i="1"/>
</calcChain>
</file>

<file path=xl/sharedStrings.xml><?xml version="1.0" encoding="utf-8"?>
<sst xmlns="http://schemas.openxmlformats.org/spreadsheetml/2006/main" count="267" uniqueCount="101">
  <si>
    <t>APV Decoder Engine Calculator - 4:2:2 - RFC 9924 (v3 Corrected)</t>
  </si>
  <si>
    <t>MB-first block count per RFC 9924 Sec 4.2  |  Blocks/MB=8 for 4:2:2  |  2.0x margin = engineering assumption (NOT RFC-grounded)</t>
  </si>
  <si>
    <t>ASSUMPTIONS  (yellow = key lever)</t>
  </si>
  <si>
    <t>Macroblock size (px)</t>
  </si>
  <si>
    <t>Fixed: MbWidth=MbHeight=16, RFC 9924 Sec 4.2</t>
  </si>
  <si>
    <t>SubWidthC (4:2:2)</t>
  </si>
  <si>
    <t>RFC 9924 Table 2</t>
  </si>
  <si>
    <t>SubHeightC (4:2:2)</t>
  </si>
  <si>
    <t>NumComps (4:2:2)</t>
  </si>
  <si>
    <t>RFC 9924 Table 2 - number of components</t>
  </si>
  <si>
    <t>Blocks/MB (4:2:2)</t>
  </si>
  <si>
    <t>Y=4 + Cb=2 + Cr=2 per RFC 9924 Sec 4.2</t>
  </si>
  <si>
    <t>Target FPS</t>
  </si>
  <si>
    <t>Frame rate - change as needed</t>
  </si>
  <si>
    <t>Final clock freq (MHz)</t>
  </si>
  <si>
    <t>KEY LEVER: throughput = freq x 1e6 cw/s</t>
  </si>
  <si>
    <t>Max h(v) cw/block (worst)</t>
  </si>
  <si>
    <t>1 DC + 63 runs + 63 AC levels, RFC 9924 Sec 5.3.15-16</t>
  </si>
  <si>
    <t>Avg bits per h(v) codeword</t>
  </si>
  <si>
    <t>Engineering assumption</t>
  </si>
  <si>
    <t>DC overhead bits/block</t>
  </si>
  <si>
    <t>Eng. margin factor</t>
  </si>
  <si>
    <t>Engineering assumption - NOT RFC-grounded</t>
  </si>
  <si>
    <t>v3 CORRECTIONS: (1) Block count = MB-first per RFC 9924 Sec 4.2 (2) Worst-case engines corrected (3) Margin = engineering assumption</t>
  </si>
  <si>
    <t>RFC 9924 TABLE 4 - Level &amp; Band limits (Sec 9.4.2)</t>
  </si>
  <si>
    <t>Level</t>
  </si>
  <si>
    <t>Max Luma Sample Rate
(sample/sec)</t>
  </si>
  <si>
    <t>Band 0
(Mbps)</t>
  </si>
  <si>
    <t>Band 1
(Mbps)</t>
  </si>
  <si>
    <t>Band 2
(Mbps)</t>
  </si>
  <si>
    <t>Band 3
(Mbps)</t>
  </si>
  <si>
    <t>level_idc</t>
  </si>
  <si>
    <t>Coverage</t>
  </si>
  <si>
    <t>1</t>
  </si>
  <si>
    <t>up to 3041280 px/s</t>
  </si>
  <si>
    <t>1.1</t>
  </si>
  <si>
    <t>up to 6082560 px/s</t>
  </si>
  <si>
    <t>2</t>
  </si>
  <si>
    <t>up to 15667200 px/s</t>
  </si>
  <si>
    <t>2.1</t>
  </si>
  <si>
    <t>up to 31334400 px/s</t>
  </si>
  <si>
    <t>3</t>
  </si>
  <si>
    <t>up to 66846720 px/s</t>
  </si>
  <si>
    <t>3.1</t>
  </si>
  <si>
    <t>up to 133693440 px/s</t>
  </si>
  <si>
    <t>4</t>
  </si>
  <si>
    <t>up to 265420800 px/s</t>
  </si>
  <si>
    <t>4.1</t>
  </si>
  <si>
    <t>up to 530841600 px/s</t>
  </si>
  <si>
    <t>5</t>
  </si>
  <si>
    <t>up to 1061683200 px/s</t>
  </si>
  <si>
    <t>5.1</t>
  </si>
  <si>
    <t>up to 2123366400 px/s</t>
  </si>
  <si>
    <t>6</t>
  </si>
  <si>
    <t>up to 4777574400 px/s</t>
  </si>
  <si>
    <t>6.1</t>
  </si>
  <si>
    <t>up to 8493465600 px/s</t>
  </si>
  <si>
    <t>7</t>
  </si>
  <si>
    <t>up to 16986931200 px/s</t>
  </si>
  <si>
    <t>Active band_idc  (0-3)</t>
  </si>
  <si>
    <t>0=Band0(lowest bitrate) ... 3=Band3(visually lossless) - all engine counts update</t>
  </si>
  <si>
    <t>Resolution</t>
  </si>
  <si>
    <t>Width
(px)</t>
  </si>
  <si>
    <t>Height
(px)</t>
  </si>
  <si>
    <t>MB
Cols</t>
  </si>
  <si>
    <t>MB
Rows</t>
  </si>
  <si>
    <t>MBs
/Frame</t>
  </si>
  <si>
    <t>Total Blks
/Frame</t>
  </si>
  <si>
    <t>Luma px
/Frame</t>
  </si>
  <si>
    <t>Luma
Sample/sec</t>
  </si>
  <si>
    <t>Auto
Level</t>
  </si>
  <si>
    <t>MaxBitrate
(Mbps)</t>
  </si>
  <si>
    <t>Bits
/Blk avg</t>
  </si>
  <si>
    <t>CW/Blk
avg(band)</t>
  </si>
  <si>
    <t>CW/Blk
worst=127</t>
  </si>
  <si>
    <t>CW/Blk
marg x2.0</t>
  </si>
  <si>
    <t>Engines
avg</t>
  </si>
  <si>
    <t>Engines
worst</t>
  </si>
  <si>
    <t>Engines
marg *REC</t>
  </si>
  <si>
    <t>720p</t>
  </si>
  <si>
    <t>FHD 1080</t>
  </si>
  <si>
    <t>FHD 2K</t>
  </si>
  <si>
    <t>UHD 4K</t>
  </si>
  <si>
    <t>DCI 4K</t>
  </si>
  <si>
    <t>UHD 8K</t>
  </si>
  <si>
    <t>8K Full</t>
  </si>
  <si>
    <t>LEGEND: Blue=W/H inputs | Yellow=clock MHz lever | Purple=auto level+bitrate from RFC 9924 Table 4 | Green *REC=margined engines (engineering target) | Worst column=RFC 9924 hard upper bound | v3: MB-first blocks, MATCH type=1 (no array formula, Excel-compatible)</t>
  </si>
  <si>
    <t>APV Decoder Engine Calculator - 4:4:4 - RFC 9924 (v3 Corrected)</t>
  </si>
  <si>
    <t>MB-first block count per RFC 9924 Sec 4.2  |  Blocks/MB=12 for 4:4:4  |  2.0x margin = engineering assumption (NOT RFC-grounded)</t>
  </si>
  <si>
    <t>SubWidthC (4:4:4)</t>
  </si>
  <si>
    <t>SubHeightC (4:4:4)</t>
  </si>
  <si>
    <t>NumComps (4:4:4)</t>
  </si>
  <si>
    <t>Blocks/MB (4:4:4)</t>
  </si>
  <si>
    <t>Y=4 + Cb=4 + Cr=4 per RFC 9924 Sec 4.2</t>
  </si>
  <si>
    <t>APV Decoder Engine Calculator - 4:4:4:4 - RFC 9924 (v3 Corrected)</t>
  </si>
  <si>
    <t>MB-first block count per RFC 9924 Sec 4.2  |  Blocks/MB=16 for 4:4:4:4  |  2.0x margin = engineering assumption (NOT RFC-grounded)</t>
  </si>
  <si>
    <t>SubWidthC (4:4:4:4)</t>
  </si>
  <si>
    <t>SubHeightC (4:4:4:4)</t>
  </si>
  <si>
    <t>NumComps (4:4:4:4)</t>
  </si>
  <si>
    <t>Blocks/MB (4:4:4:4)</t>
  </si>
  <si>
    <t>Y=4 + Cb=4 + Cr=4+A=4 per RFC 9924 Sec 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</si>
</sst>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8B"/>
      <name val="Arial"/>
      <charset val="1"/>
    </font>
    <font>
      <i/>
      <sz val="9"/>
      <color rgb="FF555555"/>
      <name val="Arial"/>
      <charset val="1"/>
    </font>
    <font>
      <b/>
      <sz val="9"/>
      <color rgb="FF7F0000"/>
      <name val="Arial"/>
      <charset val="1"/>
    </font>
    <font>
      <sz val="10"/>
      <color rgb="FF000000"/>
      <name val="Arial"/>
      <charset val="1"/>
    </font>
    <font>
      <b/>
      <sz val="11"/>
      <color rgb="FF7F6000"/>
      <name val="Arial"/>
      <charset val="1"/>
    </font>
    <font>
      <i/>
      <sz val="9"/>
      <color rgb="FF7F6000"/>
      <name val="Arial"/>
      <charset val="1"/>
    </font>
    <font>
      <b/>
      <sz val="10"/>
      <color rgb="FF4A235A"/>
      <name val="Arial"/>
      <charset val="1"/>
    </font>
    <font>
      <b/>
      <sz val="10"/>
      <color rgb="FF1A5E1A"/>
      <name val="Arial"/>
      <charset val="1"/>
    </font>
    <font>
      <i/>
      <sz val="9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D6E4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3E8FF"/>
      </patternFill>
    </fill>
    <fill>
      <patternFill patternType="solid">
        <fgColor rgb="FF4A235A"/>
        <bgColor rgb="FF444444"/>
      </patternFill>
    </fill>
    <fill>
      <patternFill patternType="solid">
        <fgColor rgb="FFF3E8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7F6000"/>
        <bgColor rgb="FF555555"/>
      </patternFill>
    </fill>
    <fill>
      <patternFill patternType="solid">
        <fgColor rgb="FF1A5E1A"/>
        <bgColor rgb="FF444444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3" fillId="2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8" borderId="0" xfId="0" applyFont="1" applyFill="1" applyBorder="1" applyAlignment="1">
      <alignment horizontal="left" vertical="center" wrapText="1"/>
    </xf>
    <xf numFmtId="0" fontId="7" fillId="7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1" fontId="5" fillId="5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" fontId="9" fillId="6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Alignment="1">
      <alignment horizontal="center" vertical="center" wrapText="1"/>
    </xf>
    <xf numFmtId="3" fontId="11" fillId="9" borderId="1" xfId="0" applyNumberFormat="1" applyFont="1" applyFill="1" applyBorder="1" applyAlignment="1">
      <alignment horizontal="center" vertical="center" wrapText="1"/>
    </xf>
    <xf numFmtId="164" fontId="8" fillId="13" borderId="1" xfId="0" applyNumberFormat="1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1" fontId="12" fillId="15" borderId="3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3" fontId="4" fillId="10" borderId="1" xfId="0" applyNumberFormat="1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1A5E1A"/>
      <rgbColor rgb="FF00008B"/>
      <rgbColor rgb="FF7F6000"/>
      <rgbColor rgb="FF800080"/>
      <rgbColor rgb="FF008080"/>
      <rgbColor rgb="FFF3E8F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4A235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topLeftCell="A36" zoomScaleNormal="100" workbookViewId="0">
      <pane ySplit="1" topLeftCell="A37" activePane="bottomLeft" state="frozen"/>
      <selection activeCell="A36" sqref="A36"/>
      <selection pane="bottomLeft" activeCell="A36" sqref="A36"/>
    </sheetView>
  </sheetViews>
  <sheetFormatPr defaultColWidth="8.7421875" defaultRowHeight="15" x14ac:dyDescent="0.2"/>
  <cols>
    <col min="1" max="1" width="13.046875" style="11" customWidth="1"/>
    <col min="2" max="5" width="6.9921875" style="11" customWidth="1"/>
    <col min="6" max="6" width="9.01171875" style="11" customWidth="1"/>
    <col min="7" max="7" width="11.02734375" style="11" customWidth="1"/>
    <col min="8" max="8" width="9.953125" style="11" customWidth="1"/>
    <col min="9" max="9" width="11.02734375" style="11" customWidth="1"/>
    <col min="10" max="10" width="6.9921875" style="11" customWidth="1"/>
    <col min="11" max="11" width="9.953125" style="11" customWidth="1"/>
    <col min="12" max="12" width="7.93359375" style="11" customWidth="1"/>
    <col min="13" max="15" width="9.01171875" style="11" customWidth="1"/>
    <col min="16" max="17" width="7.93359375" style="11" customWidth="1"/>
    <col min="18" max="18" width="9.01171875" style="11" customWidth="1"/>
  </cols>
  <sheetData>
    <row r="1" spans="1:18" ht="21.7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3.5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customHeight="1" x14ac:dyDescent="0.2">
      <c r="A3" s="8" t="s">
        <v>2</v>
      </c>
      <c r="B3" s="8"/>
      <c r="C3" s="8"/>
      <c r="D3" s="8"/>
      <c r="E3" s="8"/>
      <c r="F3" s="8"/>
    </row>
    <row r="4" spans="1:18" ht="15" customHeight="1" x14ac:dyDescent="0.2">
      <c r="A4" s="7" t="s">
        <v>3</v>
      </c>
      <c r="B4" s="7"/>
      <c r="C4" s="12">
        <v>16</v>
      </c>
      <c r="D4" s="6" t="s">
        <v>4</v>
      </c>
      <c r="E4" s="6"/>
      <c r="F4" s="6"/>
      <c r="G4" s="6"/>
      <c r="H4" s="6"/>
      <c r="I4" s="6"/>
    </row>
    <row r="5" spans="1:18" ht="15" customHeight="1" x14ac:dyDescent="0.2">
      <c r="A5" s="7" t="s">
        <v>5</v>
      </c>
      <c r="B5" s="7"/>
      <c r="C5" s="12">
        <v>2</v>
      </c>
      <c r="D5" s="6" t="s">
        <v>6</v>
      </c>
      <c r="E5" s="6"/>
      <c r="F5" s="6"/>
      <c r="G5" s="6"/>
      <c r="H5" s="6"/>
      <c r="I5" s="6"/>
    </row>
    <row r="6" spans="1:18" ht="15" customHeight="1" x14ac:dyDescent="0.2">
      <c r="A6" s="7" t="s">
        <v>7</v>
      </c>
      <c r="B6" s="7"/>
      <c r="C6" s="12">
        <v>1</v>
      </c>
      <c r="D6" s="6" t="s">
        <v>6</v>
      </c>
      <c r="E6" s="6"/>
      <c r="F6" s="6"/>
      <c r="G6" s="6"/>
      <c r="H6" s="6"/>
      <c r="I6" s="6"/>
    </row>
    <row r="7" spans="1:18" ht="15" customHeight="1" x14ac:dyDescent="0.2">
      <c r="A7" s="7" t="s">
        <v>8</v>
      </c>
      <c r="B7" s="7"/>
      <c r="C7" s="12">
        <v>3</v>
      </c>
      <c r="D7" s="6" t="s">
        <v>9</v>
      </c>
      <c r="E7" s="6"/>
      <c r="F7" s="6"/>
      <c r="G7" s="6"/>
      <c r="H7" s="6"/>
      <c r="I7" s="6"/>
    </row>
    <row r="8" spans="1:18" ht="15" customHeight="1" x14ac:dyDescent="0.2">
      <c r="A8" s="7" t="s">
        <v>10</v>
      </c>
      <c r="B8" s="7"/>
      <c r="C8" s="12">
        <v>8</v>
      </c>
      <c r="D8" s="6" t="s">
        <v>11</v>
      </c>
      <c r="E8" s="6"/>
      <c r="F8" s="6"/>
      <c r="G8" s="6"/>
      <c r="H8" s="6"/>
      <c r="I8" s="6"/>
    </row>
    <row r="9" spans="1:18" ht="15" customHeight="1" x14ac:dyDescent="0.2">
      <c r="A9" s="7" t="s">
        <v>12</v>
      </c>
      <c r="B9" s="7"/>
      <c r="C9" s="12">
        <v>60</v>
      </c>
      <c r="D9" s="6" t="s">
        <v>13</v>
      </c>
      <c r="E9" s="6"/>
      <c r="F9" s="6"/>
      <c r="G9" s="6"/>
      <c r="H9" s="6"/>
      <c r="I9" s="6"/>
    </row>
    <row r="10" spans="1:18" ht="15" customHeight="1" x14ac:dyDescent="0.2">
      <c r="A10" s="7" t="s">
        <v>14</v>
      </c>
      <c r="B10" s="7"/>
      <c r="C10" s="13">
        <v>150</v>
      </c>
      <c r="D10" s="6" t="s">
        <v>15</v>
      </c>
      <c r="E10" s="6"/>
      <c r="F10" s="6"/>
      <c r="G10" s="6"/>
      <c r="H10" s="6"/>
      <c r="I10" s="6"/>
    </row>
    <row r="11" spans="1:18" ht="15" customHeight="1" x14ac:dyDescent="0.2">
      <c r="A11" s="7" t="s">
        <v>16</v>
      </c>
      <c r="B11" s="7"/>
      <c r="C11" s="12">
        <v>127</v>
      </c>
      <c r="D11" s="6" t="s">
        <v>17</v>
      </c>
      <c r="E11" s="6"/>
      <c r="F11" s="6"/>
      <c r="G11" s="6"/>
      <c r="H11" s="6"/>
      <c r="I11" s="6"/>
    </row>
    <row r="12" spans="1:18" ht="15" customHeight="1" x14ac:dyDescent="0.2">
      <c r="A12" s="7" t="s">
        <v>18</v>
      </c>
      <c r="B12" s="7"/>
      <c r="C12" s="12">
        <v>6</v>
      </c>
      <c r="D12" s="6" t="s">
        <v>19</v>
      </c>
      <c r="E12" s="6"/>
      <c r="F12" s="6"/>
      <c r="G12" s="6"/>
      <c r="H12" s="6"/>
      <c r="I12" s="6"/>
    </row>
    <row r="13" spans="1:18" ht="15" customHeight="1" x14ac:dyDescent="0.2">
      <c r="A13" s="7" t="s">
        <v>20</v>
      </c>
      <c r="B13" s="7"/>
      <c r="C13" s="12">
        <v>6</v>
      </c>
      <c r="D13" s="6" t="s">
        <v>19</v>
      </c>
      <c r="E13" s="6"/>
      <c r="F13" s="6"/>
      <c r="G13" s="6"/>
      <c r="H13" s="6"/>
      <c r="I13" s="6"/>
    </row>
    <row r="14" spans="1:18" ht="15" customHeight="1" x14ac:dyDescent="0.2">
      <c r="A14" s="7" t="s">
        <v>21</v>
      </c>
      <c r="B14" s="7"/>
      <c r="C14" s="14">
        <v>2</v>
      </c>
      <c r="D14" s="6" t="s">
        <v>22</v>
      </c>
      <c r="E14" s="6"/>
      <c r="F14" s="6"/>
      <c r="G14" s="6"/>
      <c r="H14" s="6"/>
      <c r="I14" s="6"/>
    </row>
    <row r="15" spans="1:18" ht="13.5" customHeight="1" x14ac:dyDescent="0.2">
      <c r="A15" s="5" t="s">
        <v>23</v>
      </c>
      <c r="B15" s="5"/>
      <c r="C15" s="5"/>
      <c r="D15" s="5"/>
      <c r="E15" s="5"/>
      <c r="F15" s="5"/>
      <c r="G15" s="5"/>
      <c r="H15" s="5"/>
      <c r="I15" s="5"/>
    </row>
    <row r="17" spans="1:9" ht="15.75" customHeight="1" x14ac:dyDescent="0.2">
      <c r="A17" s="4" t="s">
        <v>24</v>
      </c>
      <c r="B17" s="4"/>
      <c r="C17" s="4"/>
      <c r="D17" s="4"/>
      <c r="E17" s="4"/>
      <c r="F17" s="4"/>
      <c r="G17" s="4"/>
      <c r="H17" s="4"/>
      <c r="I17" s="4"/>
    </row>
    <row r="18" spans="1:9" ht="33.75" customHeight="1" x14ac:dyDescent="0.2">
      <c r="A18" s="15" t="s">
        <v>25</v>
      </c>
      <c r="B18" s="15" t="s">
        <v>26</v>
      </c>
      <c r="C18" s="15" t="s">
        <v>27</v>
      </c>
      <c r="D18" s="15" t="s">
        <v>28</v>
      </c>
      <c r="E18" s="15" t="s">
        <v>29</v>
      </c>
      <c r="F18" s="15" t="s">
        <v>30</v>
      </c>
      <c r="G18" s="15" t="s">
        <v>31</v>
      </c>
      <c r="H18" s="15" t="s">
        <v>32</v>
      </c>
    </row>
    <row r="19" spans="1:9" ht="13.5" customHeight="1" x14ac:dyDescent="0.2">
      <c r="A19" s="16" t="s">
        <v>33</v>
      </c>
      <c r="B19" s="17">
        <v>3041280</v>
      </c>
      <c r="C19" s="17">
        <v>8</v>
      </c>
      <c r="D19" s="17">
        <v>11</v>
      </c>
      <c r="E19" s="17">
        <v>15</v>
      </c>
      <c r="F19" s="17">
        <v>23</v>
      </c>
      <c r="G19" s="18">
        <v>30</v>
      </c>
      <c r="H19" s="16" t="s">
        <v>34</v>
      </c>
    </row>
    <row r="20" spans="1:9" ht="13.5" customHeight="1" x14ac:dyDescent="0.2">
      <c r="A20" s="19" t="s">
        <v>35</v>
      </c>
      <c r="B20" s="20">
        <v>6082560</v>
      </c>
      <c r="C20" s="20">
        <v>16</v>
      </c>
      <c r="D20" s="20">
        <v>21</v>
      </c>
      <c r="E20" s="20">
        <v>30</v>
      </c>
      <c r="F20" s="20">
        <v>45</v>
      </c>
      <c r="G20" s="21">
        <v>33</v>
      </c>
      <c r="H20" s="19" t="s">
        <v>36</v>
      </c>
    </row>
    <row r="21" spans="1:9" ht="13.5" customHeight="1" x14ac:dyDescent="0.2">
      <c r="A21" s="16" t="s">
        <v>37</v>
      </c>
      <c r="B21" s="17">
        <v>15667200</v>
      </c>
      <c r="C21" s="17">
        <v>39</v>
      </c>
      <c r="D21" s="17">
        <v>54</v>
      </c>
      <c r="E21" s="17">
        <v>76</v>
      </c>
      <c r="F21" s="17">
        <v>114</v>
      </c>
      <c r="G21" s="18">
        <v>60</v>
      </c>
      <c r="H21" s="16" t="s">
        <v>38</v>
      </c>
    </row>
    <row r="22" spans="1:9" ht="13.5" customHeight="1" x14ac:dyDescent="0.2">
      <c r="A22" s="19" t="s">
        <v>39</v>
      </c>
      <c r="B22" s="20">
        <v>31334400</v>
      </c>
      <c r="C22" s="20">
        <v>78</v>
      </c>
      <c r="D22" s="20">
        <v>108</v>
      </c>
      <c r="E22" s="20">
        <v>152</v>
      </c>
      <c r="F22" s="20">
        <v>227</v>
      </c>
      <c r="G22" s="21">
        <v>63</v>
      </c>
      <c r="H22" s="19" t="s">
        <v>40</v>
      </c>
    </row>
    <row r="23" spans="1:9" ht="13.5" customHeight="1" x14ac:dyDescent="0.2">
      <c r="A23" s="16" t="s">
        <v>41</v>
      </c>
      <c r="B23" s="17">
        <v>66846720</v>
      </c>
      <c r="C23" s="17">
        <v>114</v>
      </c>
      <c r="D23" s="17">
        <v>159</v>
      </c>
      <c r="E23" s="17">
        <v>222</v>
      </c>
      <c r="F23" s="17">
        <v>333</v>
      </c>
      <c r="G23" s="18">
        <v>90</v>
      </c>
      <c r="H23" s="16" t="s">
        <v>42</v>
      </c>
    </row>
    <row r="24" spans="1:9" ht="13.5" customHeight="1" x14ac:dyDescent="0.2">
      <c r="A24" s="19" t="s">
        <v>43</v>
      </c>
      <c r="B24" s="20">
        <v>133693440</v>
      </c>
      <c r="C24" s="20">
        <v>227</v>
      </c>
      <c r="D24" s="20">
        <v>317</v>
      </c>
      <c r="E24" s="20">
        <v>444</v>
      </c>
      <c r="F24" s="20">
        <v>666</v>
      </c>
      <c r="G24" s="21">
        <v>93</v>
      </c>
      <c r="H24" s="19" t="s">
        <v>44</v>
      </c>
    </row>
    <row r="25" spans="1:9" ht="13.5" customHeight="1" x14ac:dyDescent="0.2">
      <c r="A25" s="16" t="s">
        <v>45</v>
      </c>
      <c r="B25" s="17">
        <v>265420800</v>
      </c>
      <c r="C25" s="17">
        <v>455</v>
      </c>
      <c r="D25" s="17">
        <v>637</v>
      </c>
      <c r="E25" s="17">
        <v>892</v>
      </c>
      <c r="F25" s="17">
        <v>1338</v>
      </c>
      <c r="G25" s="18">
        <v>120</v>
      </c>
      <c r="H25" s="16" t="s">
        <v>46</v>
      </c>
    </row>
    <row r="26" spans="1:9" ht="13.5" customHeight="1" x14ac:dyDescent="0.2">
      <c r="A26" s="19" t="s">
        <v>47</v>
      </c>
      <c r="B26" s="20">
        <v>530841600</v>
      </c>
      <c r="C26" s="20">
        <v>910</v>
      </c>
      <c r="D26" s="20">
        <v>1274</v>
      </c>
      <c r="E26" s="20">
        <v>1784</v>
      </c>
      <c r="F26" s="20">
        <v>2675</v>
      </c>
      <c r="G26" s="21">
        <v>122</v>
      </c>
      <c r="H26" s="19" t="s">
        <v>48</v>
      </c>
    </row>
    <row r="27" spans="1:9" ht="13.5" customHeight="1" x14ac:dyDescent="0.2">
      <c r="A27" s="16" t="s">
        <v>49</v>
      </c>
      <c r="B27" s="17">
        <v>1061683200</v>
      </c>
      <c r="C27" s="17">
        <v>1820</v>
      </c>
      <c r="D27" s="17">
        <v>2548</v>
      </c>
      <c r="E27" s="17">
        <v>3567</v>
      </c>
      <c r="F27" s="17">
        <v>5350</v>
      </c>
      <c r="G27" s="18">
        <v>150</v>
      </c>
      <c r="H27" s="16" t="s">
        <v>50</v>
      </c>
    </row>
    <row r="28" spans="1:9" ht="13.5" customHeight="1" x14ac:dyDescent="0.2">
      <c r="A28" s="19" t="s">
        <v>51</v>
      </c>
      <c r="B28" s="20">
        <v>2123366400</v>
      </c>
      <c r="C28" s="20">
        <v>3639</v>
      </c>
      <c r="D28" s="20">
        <v>5095</v>
      </c>
      <c r="E28" s="20">
        <v>7133</v>
      </c>
      <c r="F28" s="20">
        <v>10699</v>
      </c>
      <c r="G28" s="21">
        <v>153</v>
      </c>
      <c r="H28" s="19" t="s">
        <v>52</v>
      </c>
    </row>
    <row r="29" spans="1:9" ht="13.5" customHeight="1" x14ac:dyDescent="0.2">
      <c r="A29" s="16" t="s">
        <v>53</v>
      </c>
      <c r="B29" s="17">
        <v>4777574400</v>
      </c>
      <c r="C29" s="17">
        <v>7278</v>
      </c>
      <c r="D29" s="17">
        <v>10189</v>
      </c>
      <c r="E29" s="17">
        <v>14265</v>
      </c>
      <c r="F29" s="17">
        <v>21397</v>
      </c>
      <c r="G29" s="18">
        <v>180</v>
      </c>
      <c r="H29" s="16" t="s">
        <v>54</v>
      </c>
    </row>
    <row r="30" spans="1:9" ht="13.5" customHeight="1" x14ac:dyDescent="0.2">
      <c r="A30" s="19" t="s">
        <v>55</v>
      </c>
      <c r="B30" s="20">
        <v>8493465600</v>
      </c>
      <c r="C30" s="20">
        <v>14556</v>
      </c>
      <c r="D30" s="20">
        <v>20378</v>
      </c>
      <c r="E30" s="20">
        <v>28529</v>
      </c>
      <c r="F30" s="20">
        <v>42793</v>
      </c>
      <c r="G30" s="21">
        <v>183</v>
      </c>
      <c r="H30" s="19" t="s">
        <v>56</v>
      </c>
    </row>
    <row r="31" spans="1:9" ht="13.5" customHeight="1" x14ac:dyDescent="0.2">
      <c r="A31" s="16" t="s">
        <v>57</v>
      </c>
      <c r="B31" s="17">
        <v>16986931200</v>
      </c>
      <c r="C31" s="17">
        <v>29111</v>
      </c>
      <c r="D31" s="17">
        <v>40756</v>
      </c>
      <c r="E31" s="17">
        <v>57058</v>
      </c>
      <c r="F31" s="17">
        <v>85586</v>
      </c>
      <c r="G31" s="18">
        <v>210</v>
      </c>
      <c r="H31" s="16" t="s">
        <v>58</v>
      </c>
    </row>
    <row r="33" spans="1:18" ht="18" customHeight="1" x14ac:dyDescent="0.2">
      <c r="A33" s="3" t="s">
        <v>59</v>
      </c>
      <c r="B33" s="3"/>
      <c r="C33" s="22">
        <v>3</v>
      </c>
      <c r="D33" s="2" t="s">
        <v>60</v>
      </c>
      <c r="E33" s="2"/>
      <c r="F33" s="2"/>
      <c r="G33" s="2"/>
      <c r="H33" s="2"/>
      <c r="I33" s="2"/>
    </row>
    <row r="35" spans="1:18" ht="45.75" customHeight="1" x14ac:dyDescent="0.2">
      <c r="A35" s="23" t="s">
        <v>61</v>
      </c>
      <c r="B35" s="23" t="s">
        <v>62</v>
      </c>
      <c r="C35" s="23" t="s">
        <v>63</v>
      </c>
      <c r="D35" s="24" t="s">
        <v>64</v>
      </c>
      <c r="E35" s="24" t="s">
        <v>65</v>
      </c>
      <c r="F35" s="24" t="s">
        <v>66</v>
      </c>
      <c r="G35" s="24" t="s">
        <v>67</v>
      </c>
      <c r="H35" s="24" t="s">
        <v>68</v>
      </c>
      <c r="I35" s="24" t="s">
        <v>69</v>
      </c>
      <c r="J35" s="15" t="s">
        <v>70</v>
      </c>
      <c r="K35" s="15" t="s">
        <v>71</v>
      </c>
      <c r="L35" s="25" t="s">
        <v>72</v>
      </c>
      <c r="M35" s="25" t="s">
        <v>73</v>
      </c>
      <c r="N35" s="25" t="s">
        <v>74</v>
      </c>
      <c r="O35" s="25" t="s">
        <v>75</v>
      </c>
      <c r="P35" s="26" t="s">
        <v>76</v>
      </c>
      <c r="Q35" s="26" t="s">
        <v>77</v>
      </c>
      <c r="R35" s="26" t="s">
        <v>78</v>
      </c>
    </row>
    <row r="36" spans="1:18" ht="15.75" customHeight="1" x14ac:dyDescent="0.2">
      <c r="A36" s="27" t="s">
        <v>79</v>
      </c>
      <c r="B36" s="12">
        <v>1280</v>
      </c>
      <c r="C36" s="12">
        <v>720</v>
      </c>
      <c r="D36" s="28">
        <f>CEILING(B36/$C$4,1)</f>
        <v>80</v>
      </c>
      <c r="E36" s="28">
        <f>CEILING(C36/$C$4,1)</f>
        <v>45</v>
      </c>
      <c r="F36" s="29">
        <f>D36*E36</f>
        <v>3600</v>
      </c>
      <c r="G36" s="29">
        <f>F36*$C$8</f>
        <v>28800</v>
      </c>
      <c r="H36" s="30">
        <f>B36*C36</f>
        <v>921600</v>
      </c>
      <c r="I36" s="30">
        <f>H36*$C$9</f>
        <v>55296000</v>
      </c>
      <c r="J36" s="31" t="str">
        <f>IFERROR(INDEX($A$19:$A$31,MATCH(I36-1,$B$19:$B$31,1)+1),"&gt;")</f>
        <v>3</v>
      </c>
      <c r="K36" s="32">
        <f>IFERROR(INDEX(CHOOSE($C$33+1,$C$19:$C$31,$D$19:$D$31,$E$19:$E$31,$F$19:$F$31),MATCH(I36-1,$B$19:$B$31,1)+1),0)</f>
        <v>333</v>
      </c>
      <c r="L36" s="33">
        <f>IFERROR(K36*1000000/($C$9*G36),0)</f>
        <v>192.70833333333334</v>
      </c>
      <c r="M36" s="33">
        <f>IFERROR((L36-$C$13)/$C$12,0)</f>
        <v>31.118055555555557</v>
      </c>
      <c r="N36" s="28">
        <f>$C$11</f>
        <v>127</v>
      </c>
      <c r="O36" s="33">
        <f>M36*$C$14</f>
        <v>62.236111111111114</v>
      </c>
      <c r="P36" s="34">
        <f>IFERROR(CEILING(M36*G36*$C$9/($C$10*1000000),1),0)</f>
        <v>1</v>
      </c>
      <c r="Q36" s="34">
        <f>IFERROR(CEILING($C$11*G36*$C$9/($C$10*1000000),1),0)</f>
        <v>2</v>
      </c>
      <c r="R36" s="35">
        <f>IFERROR(CEILING(O36*G36*$C$9/($C$10*1000000),1),0)</f>
        <v>1</v>
      </c>
    </row>
    <row r="37" spans="1:18" ht="15.75" customHeight="1" x14ac:dyDescent="0.2">
      <c r="A37" s="36" t="s">
        <v>80</v>
      </c>
      <c r="B37" s="12">
        <v>1920</v>
      </c>
      <c r="C37" s="12">
        <v>1080</v>
      </c>
      <c r="D37" s="21">
        <f>CEILING(B37/$C$4,1)</f>
        <v>120</v>
      </c>
      <c r="E37" s="21">
        <f>CEILING(C37/$C$4,1)</f>
        <v>68</v>
      </c>
      <c r="F37" s="37">
        <f>D37*E37</f>
        <v>8160</v>
      </c>
      <c r="G37" s="37">
        <f>F37*$C$8</f>
        <v>65280</v>
      </c>
      <c r="H37" s="20">
        <f>B37*C37</f>
        <v>2073600</v>
      </c>
      <c r="I37" s="20">
        <f>H37*$C$9</f>
        <v>124416000</v>
      </c>
      <c r="J37" s="31" t="str">
        <f>IFERROR(INDEX($A$19:$A$31,MATCH(I37-1,$B$19:$B$31,1)+1),"&gt;")</f>
        <v>3.1</v>
      </c>
      <c r="K37" s="32">
        <f>IFERROR(INDEX(CHOOSE($C$33+1,$C$19:$C$31,$D$19:$D$31,$E$19:$E$31,$F$19:$F$31),MATCH(I37-1,$B$19:$B$31,1)+1),0)</f>
        <v>666</v>
      </c>
      <c r="L37" s="38">
        <f>IFERROR(K37*1000000/($C$9*G37),0)</f>
        <v>170.03676470588235</v>
      </c>
      <c r="M37" s="38">
        <f>IFERROR((L37-$C$13)/$C$12,0)</f>
        <v>27.339460784313726</v>
      </c>
      <c r="N37" s="21">
        <f>$C$11</f>
        <v>127</v>
      </c>
      <c r="O37" s="38">
        <f>M37*$C$14</f>
        <v>54.678921568627452</v>
      </c>
      <c r="P37" s="34">
        <f>IFERROR(CEILING(M37*G37*$C$9/($C$10*1000000),1),0)</f>
        <v>1</v>
      </c>
      <c r="Q37" s="34">
        <f>IFERROR(CEILING($C$11*G37*$C$9/($C$10*1000000),1),0)</f>
        <v>4</v>
      </c>
      <c r="R37" s="35">
        <f>IFERROR(CEILING(O37*G37*$C$9/($C$10*1000000),1),0)</f>
        <v>2</v>
      </c>
    </row>
    <row r="38" spans="1:18" ht="15.75" customHeight="1" x14ac:dyDescent="0.2">
      <c r="A38" s="27" t="s">
        <v>81</v>
      </c>
      <c r="B38" s="12">
        <v>2048</v>
      </c>
      <c r="C38" s="12">
        <v>1080</v>
      </c>
      <c r="D38" s="28">
        <f>CEILING(B38/$C$4,1)</f>
        <v>128</v>
      </c>
      <c r="E38" s="28">
        <f>CEILING(C38/$C$4,1)</f>
        <v>68</v>
      </c>
      <c r="F38" s="29">
        <f>D38*E38</f>
        <v>8704</v>
      </c>
      <c r="G38" s="29">
        <f>F38*$C$8</f>
        <v>69632</v>
      </c>
      <c r="H38" s="30">
        <f>B38*C38</f>
        <v>2211840</v>
      </c>
      <c r="I38" s="30">
        <f>H38*$C$9</f>
        <v>132710400</v>
      </c>
      <c r="J38" s="31" t="str">
        <f>IFERROR(INDEX($A$19:$A$31,MATCH(I38-1,$B$19:$B$31,1)+1),"&gt;")</f>
        <v>3.1</v>
      </c>
      <c r="K38" s="32">
        <f>IFERROR(INDEX(CHOOSE($C$33+1,$C$19:$C$31,$D$19:$D$31,$E$19:$E$31,$F$19:$F$31),MATCH(I38-1,$B$19:$B$31,1)+1),0)</f>
        <v>666</v>
      </c>
      <c r="L38" s="33">
        <f>IFERROR(K38*1000000/($C$9*G38),0)</f>
        <v>159.4094669117647</v>
      </c>
      <c r="M38" s="33">
        <f>IFERROR((L38-$C$13)/$C$12,0)</f>
        <v>25.568244485294116</v>
      </c>
      <c r="N38" s="28">
        <f>$C$11</f>
        <v>127</v>
      </c>
      <c r="O38" s="33">
        <f>M38*$C$14</f>
        <v>51.136488970588232</v>
      </c>
      <c r="P38" s="34">
        <f>IFERROR(CEILING(M38*G38*$C$9/($C$10*1000000),1),0)</f>
        <v>1</v>
      </c>
      <c r="Q38" s="34">
        <f>IFERROR(CEILING($C$11*G38*$C$9/($C$10*1000000),1),0)</f>
        <v>4</v>
      </c>
      <c r="R38" s="35">
        <f>IFERROR(CEILING(O38*G38*$C$9/($C$10*1000000),1),0)</f>
        <v>2</v>
      </c>
    </row>
    <row r="39" spans="1:18" ht="15.75" customHeight="1" x14ac:dyDescent="0.2">
      <c r="A39" s="36" t="s">
        <v>82</v>
      </c>
      <c r="B39" s="12">
        <v>3840</v>
      </c>
      <c r="C39" s="12">
        <v>2160</v>
      </c>
      <c r="D39" s="21">
        <f>CEILING(B39/$C$4,1)</f>
        <v>240</v>
      </c>
      <c r="E39" s="21">
        <f>CEILING(C39/$C$4,1)</f>
        <v>135</v>
      </c>
      <c r="F39" s="37">
        <f>D39*E39</f>
        <v>32400</v>
      </c>
      <c r="G39" s="37">
        <f>F39*$C$8</f>
        <v>259200</v>
      </c>
      <c r="H39" s="20">
        <f>B39*C39</f>
        <v>8294400</v>
      </c>
      <c r="I39" s="20">
        <f>H39*$C$9</f>
        <v>497664000</v>
      </c>
      <c r="J39" s="31" t="str">
        <f>IFERROR(INDEX($A$19:$A$31,MATCH(I39-1,$B$19:$B$31,1)+1),"&gt;")</f>
        <v>4.1</v>
      </c>
      <c r="K39" s="32">
        <f>IFERROR(INDEX(CHOOSE($C$33+1,$C$19:$C$31,$D$19:$D$31,$E$19:$E$31,$F$19:$F$31),MATCH(I39-1,$B$19:$B$31,1)+1),0)</f>
        <v>2675</v>
      </c>
      <c r="L39" s="38">
        <f>IFERROR(K39*1000000/($C$9*G39),0)</f>
        <v>172.00360082304528</v>
      </c>
      <c r="M39" s="38">
        <f>IFERROR((L39-$C$13)/$C$12,0)</f>
        <v>27.667266803840878</v>
      </c>
      <c r="N39" s="21">
        <f>$C$11</f>
        <v>127</v>
      </c>
      <c r="O39" s="38">
        <f>M39*$C$14</f>
        <v>55.334533607681756</v>
      </c>
      <c r="P39" s="34">
        <f>IFERROR(CEILING(M39*G39*$C$9/($C$10*1000000),1),0)</f>
        <v>3</v>
      </c>
      <c r="Q39" s="34">
        <f>IFERROR(CEILING($C$11*G39*$C$9/($C$10*1000000),1),0)</f>
        <v>14</v>
      </c>
      <c r="R39" s="35">
        <f>IFERROR(CEILING(O39*G39*$C$9/($C$10*1000000),1),0)</f>
        <v>6</v>
      </c>
    </row>
    <row r="40" spans="1:18" ht="15.75" customHeight="1" x14ac:dyDescent="0.2">
      <c r="A40" s="27" t="s">
        <v>83</v>
      </c>
      <c r="B40" s="12">
        <v>4096</v>
      </c>
      <c r="C40" s="12">
        <v>2160</v>
      </c>
      <c r="D40" s="28">
        <f>CEILING(B40/$C$4,1)</f>
        <v>256</v>
      </c>
      <c r="E40" s="28">
        <f>CEILING(C40/$C$4,1)</f>
        <v>135</v>
      </c>
      <c r="F40" s="29">
        <f>D40*E40</f>
        <v>34560</v>
      </c>
      <c r="G40" s="29">
        <f>F40*$C$8</f>
        <v>276480</v>
      </c>
      <c r="H40" s="30">
        <f>B40*C40</f>
        <v>8847360</v>
      </c>
      <c r="I40" s="30">
        <f>H40*$C$9</f>
        <v>530841600</v>
      </c>
      <c r="J40" s="31" t="str">
        <f>IFERROR(INDEX($A$19:$A$31,MATCH(I40-1,$B$19:$B$31,1)+1),"&gt;")</f>
        <v>4.1</v>
      </c>
      <c r="K40" s="32">
        <f>IFERROR(INDEX(CHOOSE($C$33+1,$C$19:$C$31,$D$19:$D$31,$E$19:$E$31,$F$19:$F$31),MATCH(I40-1,$B$19:$B$31,1)+1),0)</f>
        <v>2675</v>
      </c>
      <c r="L40" s="33">
        <f>IFERROR(K40*1000000/($C$9*G40),0)</f>
        <v>161.25337577160494</v>
      </c>
      <c r="M40" s="33">
        <f>IFERROR((L40-$C$13)/$C$12,0)</f>
        <v>25.875562628600822</v>
      </c>
      <c r="N40" s="28">
        <f>$C$11</f>
        <v>127</v>
      </c>
      <c r="O40" s="33">
        <f>M40*$C$14</f>
        <v>51.751125257201643</v>
      </c>
      <c r="P40" s="34">
        <f>IFERROR(CEILING(M40*G40*$C$9/($C$10*1000000),1),0)</f>
        <v>3</v>
      </c>
      <c r="Q40" s="34">
        <f>IFERROR(CEILING($C$11*G40*$C$9/($C$10*1000000),1),0)</f>
        <v>15</v>
      </c>
      <c r="R40" s="35">
        <f>IFERROR(CEILING(O40*G40*$C$9/($C$10*1000000),1),0)</f>
        <v>6</v>
      </c>
    </row>
    <row r="41" spans="1:18" ht="15.75" customHeight="1" x14ac:dyDescent="0.2">
      <c r="A41" s="36" t="s">
        <v>84</v>
      </c>
      <c r="B41" s="12">
        <v>7680</v>
      </c>
      <c r="C41" s="12">
        <v>4320</v>
      </c>
      <c r="D41" s="21">
        <f>CEILING(B41/$C$4,1)</f>
        <v>480</v>
      </c>
      <c r="E41" s="21">
        <f>CEILING(C41/$C$4,1)</f>
        <v>270</v>
      </c>
      <c r="F41" s="37">
        <f>D41*E41</f>
        <v>129600</v>
      </c>
      <c r="G41" s="37">
        <f>F41*$C$8</f>
        <v>1036800</v>
      </c>
      <c r="H41" s="20">
        <f>B41*C41</f>
        <v>33177600</v>
      </c>
      <c r="I41" s="20">
        <f>H41*$C$9</f>
        <v>1990656000</v>
      </c>
      <c r="J41" s="31" t="str">
        <f>IFERROR(INDEX($A$19:$A$31,MATCH(I41-1,$B$19:$B$31,1)+1),"&gt;")</f>
        <v>5.1</v>
      </c>
      <c r="K41" s="32">
        <f>IFERROR(INDEX(CHOOSE($C$33+1,$C$19:$C$31,$D$19:$D$31,$E$19:$E$31,$F$19:$F$31),MATCH(I41-1,$B$19:$B$31,1)+1),0)</f>
        <v>10699</v>
      </c>
      <c r="L41" s="38">
        <f>IFERROR(K41*1000000/($C$9*G41),0)</f>
        <v>171.9875257201646</v>
      </c>
      <c r="M41" s="38">
        <f>IFERROR((L41-$C$13)/$C$12,0)</f>
        <v>27.664587620027433</v>
      </c>
      <c r="N41" s="21">
        <f>$C$11</f>
        <v>127</v>
      </c>
      <c r="O41" s="38">
        <f>M41*$C$14</f>
        <v>55.329175240054866</v>
      </c>
      <c r="P41" s="34">
        <f>IFERROR(CEILING(M41*G41*$C$9/($C$10*1000000),1),0)</f>
        <v>12</v>
      </c>
      <c r="Q41" s="34">
        <f>IFERROR(CEILING($C$11*G41*$C$9/($C$10*1000000),1),0)</f>
        <v>53</v>
      </c>
      <c r="R41" s="35">
        <f>IFERROR(CEILING(O41*G41*$C$9/($C$10*1000000),1),0)</f>
        <v>23</v>
      </c>
    </row>
    <row r="42" spans="1:18" ht="15.75" customHeight="1" x14ac:dyDescent="0.2">
      <c r="A42" s="27" t="s">
        <v>85</v>
      </c>
      <c r="B42" s="12">
        <v>8192</v>
      </c>
      <c r="C42" s="12">
        <v>4320</v>
      </c>
      <c r="D42" s="28">
        <f>CEILING(B42/$C$4,1)</f>
        <v>512</v>
      </c>
      <c r="E42" s="28">
        <f>CEILING(C42/$C$4,1)</f>
        <v>270</v>
      </c>
      <c r="F42" s="29">
        <f>D42*E42</f>
        <v>138240</v>
      </c>
      <c r="G42" s="29">
        <f>F42*$C$8</f>
        <v>1105920</v>
      </c>
      <c r="H42" s="30">
        <f>B42*C42</f>
        <v>35389440</v>
      </c>
      <c r="I42" s="30">
        <f>H42*$C$9</f>
        <v>2123366400</v>
      </c>
      <c r="J42" s="31" t="str">
        <f>IFERROR(INDEX($A$19:$A$31,MATCH(I42-1,$B$19:$B$31,1)+1),"&gt;")</f>
        <v>5.1</v>
      </c>
      <c r="K42" s="32">
        <f>IFERROR(INDEX(CHOOSE($C$33+1,$C$19:$C$31,$D$19:$D$31,$E$19:$E$31,$F$19:$F$31),MATCH(I42-1,$B$19:$B$31,1)+1),0)</f>
        <v>10699</v>
      </c>
      <c r="L42" s="33">
        <f>IFERROR(K42*1000000/($C$9*G42),0)</f>
        <v>161.23830536265433</v>
      </c>
      <c r="M42" s="33">
        <f>IFERROR((L42-$C$13)/$C$12,0)</f>
        <v>25.873050893775723</v>
      </c>
      <c r="N42" s="28">
        <f>$C$11</f>
        <v>127</v>
      </c>
      <c r="O42" s="33">
        <f>M42*$C$14</f>
        <v>51.746101787551446</v>
      </c>
      <c r="P42" s="34">
        <f>IFERROR(CEILING(M42*G42*$C$9/($C$10*1000000),1),0)</f>
        <v>12</v>
      </c>
      <c r="Q42" s="34">
        <f>IFERROR(CEILING($C$11*G42*$C$9/($C$10*1000000),1),0)</f>
        <v>57</v>
      </c>
      <c r="R42" s="35">
        <f>IFERROR(CEILING(O42*G42*$C$9/($C$10*1000000),1),0)</f>
        <v>23</v>
      </c>
    </row>
    <row r="45" spans="1:18" ht="13.5" customHeight="1" x14ac:dyDescent="0.2">
      <c r="A45" s="1" t="s">
        <v>86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30">
    <mergeCell ref="A45:R45"/>
    <mergeCell ref="A14:B14"/>
    <mergeCell ref="D14:I14"/>
    <mergeCell ref="A15:I15"/>
    <mergeCell ref="A17:I17"/>
    <mergeCell ref="A33:B33"/>
    <mergeCell ref="D33:I33"/>
    <mergeCell ref="A11:B11"/>
    <mergeCell ref="D11:I11"/>
    <mergeCell ref="A12:B12"/>
    <mergeCell ref="D12:I12"/>
    <mergeCell ref="A13:B13"/>
    <mergeCell ref="D13:I13"/>
    <mergeCell ref="A8:B8"/>
    <mergeCell ref="D8:I8"/>
    <mergeCell ref="A9:B9"/>
    <mergeCell ref="D9:I9"/>
    <mergeCell ref="A10:B10"/>
    <mergeCell ref="D10:I10"/>
    <mergeCell ref="A5:B5"/>
    <mergeCell ref="D5:I5"/>
    <mergeCell ref="A6:B6"/>
    <mergeCell ref="D6:I6"/>
    <mergeCell ref="A7:B7"/>
    <mergeCell ref="D7:I7"/>
    <mergeCell ref="A1:R1"/>
    <mergeCell ref="A2:R2"/>
    <mergeCell ref="A3:F3"/>
    <mergeCell ref="A4:B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"/>
  <sheetViews>
    <sheetView zoomScaleNormal="100" workbookViewId="0">
      <pane ySplit="1" topLeftCell="A2" activePane="bottomLeft" state="frozen"/>
      <selection pane="bottomLeft" activeCell="A36" sqref="A36"/>
    </sheetView>
  </sheetViews>
  <sheetFormatPr defaultColWidth="8.7421875" defaultRowHeight="15" x14ac:dyDescent="0.2"/>
  <cols>
    <col min="1" max="1" width="13.046875" style="11" customWidth="1"/>
    <col min="2" max="5" width="6.9921875" style="11" customWidth="1"/>
    <col min="6" max="6" width="9.01171875" style="11" customWidth="1"/>
    <col min="7" max="7" width="11.02734375" style="11" customWidth="1"/>
    <col min="8" max="8" width="9.953125" style="11" customWidth="1"/>
    <col min="9" max="9" width="11.02734375" style="11" customWidth="1"/>
    <col min="10" max="10" width="6.9921875" style="11" customWidth="1"/>
    <col min="11" max="11" width="9.953125" style="11" customWidth="1"/>
    <col min="12" max="12" width="7.93359375" style="11" customWidth="1"/>
    <col min="13" max="15" width="9.01171875" style="11" customWidth="1"/>
    <col min="16" max="17" width="7.93359375" style="11" customWidth="1"/>
    <col min="18" max="18" width="9.01171875" style="11" customWidth="1"/>
  </cols>
  <sheetData>
    <row r="1" spans="1:18" ht="21.75" customHeight="1" x14ac:dyDescent="0.2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3.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customHeight="1" x14ac:dyDescent="0.2">
      <c r="A3" s="8" t="s">
        <v>2</v>
      </c>
      <c r="B3" s="8"/>
      <c r="C3" s="8"/>
      <c r="D3" s="8"/>
      <c r="E3" s="8"/>
      <c r="F3" s="8"/>
    </row>
    <row r="4" spans="1:18" ht="15" customHeight="1" x14ac:dyDescent="0.2">
      <c r="A4" s="7" t="s">
        <v>3</v>
      </c>
      <c r="B4" s="7"/>
      <c r="C4" s="12">
        <v>16</v>
      </c>
      <c r="D4" s="6" t="s">
        <v>4</v>
      </c>
      <c r="E4" s="6"/>
      <c r="F4" s="6"/>
      <c r="G4" s="6"/>
      <c r="H4" s="6"/>
      <c r="I4" s="6"/>
    </row>
    <row r="5" spans="1:18" ht="15" customHeight="1" x14ac:dyDescent="0.2">
      <c r="A5" s="7" t="s">
        <v>89</v>
      </c>
      <c r="B5" s="7"/>
      <c r="C5" s="12">
        <v>1</v>
      </c>
      <c r="D5" s="6" t="s">
        <v>6</v>
      </c>
      <c r="E5" s="6"/>
      <c r="F5" s="6"/>
      <c r="G5" s="6"/>
      <c r="H5" s="6"/>
      <c r="I5" s="6"/>
    </row>
    <row r="6" spans="1:18" ht="15" customHeight="1" x14ac:dyDescent="0.2">
      <c r="A6" s="7" t="s">
        <v>90</v>
      </c>
      <c r="B6" s="7"/>
      <c r="C6" s="12">
        <v>1</v>
      </c>
      <c r="D6" s="6" t="s">
        <v>6</v>
      </c>
      <c r="E6" s="6"/>
      <c r="F6" s="6"/>
      <c r="G6" s="6"/>
      <c r="H6" s="6"/>
      <c r="I6" s="6"/>
    </row>
    <row r="7" spans="1:18" ht="15" customHeight="1" x14ac:dyDescent="0.2">
      <c r="A7" s="7" t="s">
        <v>91</v>
      </c>
      <c r="B7" s="7"/>
      <c r="C7" s="12">
        <v>3</v>
      </c>
      <c r="D7" s="6" t="s">
        <v>9</v>
      </c>
      <c r="E7" s="6"/>
      <c r="F7" s="6"/>
      <c r="G7" s="6"/>
      <c r="H7" s="6"/>
      <c r="I7" s="6"/>
    </row>
    <row r="8" spans="1:18" ht="15" customHeight="1" x14ac:dyDescent="0.2">
      <c r="A8" s="7" t="s">
        <v>92</v>
      </c>
      <c r="B8" s="7"/>
      <c r="C8" s="12">
        <v>12</v>
      </c>
      <c r="D8" s="6" t="s">
        <v>93</v>
      </c>
      <c r="E8" s="6"/>
      <c r="F8" s="6"/>
      <c r="G8" s="6"/>
      <c r="H8" s="6"/>
      <c r="I8" s="6"/>
    </row>
    <row r="9" spans="1:18" ht="15" customHeight="1" x14ac:dyDescent="0.2">
      <c r="A9" s="7" t="s">
        <v>12</v>
      </c>
      <c r="B9" s="7"/>
      <c r="C9" s="12">
        <v>60</v>
      </c>
      <c r="D9" s="6" t="s">
        <v>13</v>
      </c>
      <c r="E9" s="6"/>
      <c r="F9" s="6"/>
      <c r="G9" s="6"/>
      <c r="H9" s="6"/>
      <c r="I9" s="6"/>
    </row>
    <row r="10" spans="1:18" ht="15" customHeight="1" x14ac:dyDescent="0.2">
      <c r="A10" s="7" t="s">
        <v>14</v>
      </c>
      <c r="B10" s="7"/>
      <c r="C10" s="13">
        <v>150</v>
      </c>
      <c r="D10" s="6" t="s">
        <v>15</v>
      </c>
      <c r="E10" s="6"/>
      <c r="F10" s="6"/>
      <c r="G10" s="6"/>
      <c r="H10" s="6"/>
      <c r="I10" s="6"/>
    </row>
    <row r="11" spans="1:18" ht="15" customHeight="1" x14ac:dyDescent="0.2">
      <c r="A11" s="7" t="s">
        <v>16</v>
      </c>
      <c r="B11" s="7"/>
      <c r="C11" s="12">
        <v>127</v>
      </c>
      <c r="D11" s="6" t="s">
        <v>17</v>
      </c>
      <c r="E11" s="6"/>
      <c r="F11" s="6"/>
      <c r="G11" s="6"/>
      <c r="H11" s="6"/>
      <c r="I11" s="6"/>
    </row>
    <row r="12" spans="1:18" ht="15" customHeight="1" x14ac:dyDescent="0.2">
      <c r="A12" s="7" t="s">
        <v>18</v>
      </c>
      <c r="B12" s="7"/>
      <c r="C12" s="12">
        <v>6</v>
      </c>
      <c r="D12" s="6" t="s">
        <v>19</v>
      </c>
      <c r="E12" s="6"/>
      <c r="F12" s="6"/>
      <c r="G12" s="6"/>
      <c r="H12" s="6"/>
      <c r="I12" s="6"/>
    </row>
    <row r="13" spans="1:18" ht="15" customHeight="1" x14ac:dyDescent="0.2">
      <c r="A13" s="7" t="s">
        <v>20</v>
      </c>
      <c r="B13" s="7"/>
      <c r="C13" s="12">
        <v>6</v>
      </c>
      <c r="D13" s="6" t="s">
        <v>19</v>
      </c>
      <c r="E13" s="6"/>
      <c r="F13" s="6"/>
      <c r="G13" s="6"/>
      <c r="H13" s="6"/>
      <c r="I13" s="6"/>
    </row>
    <row r="14" spans="1:18" ht="15" customHeight="1" x14ac:dyDescent="0.2">
      <c r="A14" s="7" t="s">
        <v>21</v>
      </c>
      <c r="B14" s="7"/>
      <c r="C14" s="14">
        <v>2</v>
      </c>
      <c r="D14" s="6" t="s">
        <v>22</v>
      </c>
      <c r="E14" s="6"/>
      <c r="F14" s="6"/>
      <c r="G14" s="6"/>
      <c r="H14" s="6"/>
      <c r="I14" s="6"/>
    </row>
    <row r="15" spans="1:18" ht="13.5" customHeight="1" x14ac:dyDescent="0.2">
      <c r="A15" s="5" t="s">
        <v>23</v>
      </c>
      <c r="B15" s="5"/>
      <c r="C15" s="5"/>
      <c r="D15" s="5"/>
      <c r="E15" s="5"/>
      <c r="F15" s="5"/>
      <c r="G15" s="5"/>
      <c r="H15" s="5"/>
      <c r="I15" s="5"/>
    </row>
    <row r="17" spans="1:9" ht="15.75" customHeight="1" x14ac:dyDescent="0.2">
      <c r="A17" s="4" t="s">
        <v>24</v>
      </c>
      <c r="B17" s="4"/>
      <c r="C17" s="4"/>
      <c r="D17" s="4"/>
      <c r="E17" s="4"/>
      <c r="F17" s="4"/>
      <c r="G17" s="4"/>
      <c r="H17" s="4"/>
      <c r="I17" s="4"/>
    </row>
    <row r="18" spans="1:9" ht="33.75" customHeight="1" x14ac:dyDescent="0.2">
      <c r="A18" s="15" t="s">
        <v>25</v>
      </c>
      <c r="B18" s="15" t="s">
        <v>26</v>
      </c>
      <c r="C18" s="15" t="s">
        <v>27</v>
      </c>
      <c r="D18" s="15" t="s">
        <v>28</v>
      </c>
      <c r="E18" s="15" t="s">
        <v>29</v>
      </c>
      <c r="F18" s="15" t="s">
        <v>30</v>
      </c>
      <c r="G18" s="15" t="s">
        <v>31</v>
      </c>
      <c r="H18" s="15" t="s">
        <v>32</v>
      </c>
    </row>
    <row r="19" spans="1:9" ht="13.5" customHeight="1" x14ac:dyDescent="0.2">
      <c r="A19" s="16" t="s">
        <v>33</v>
      </c>
      <c r="B19" s="17">
        <v>3041280</v>
      </c>
      <c r="C19" s="17">
        <v>8</v>
      </c>
      <c r="D19" s="17">
        <v>11</v>
      </c>
      <c r="E19" s="17">
        <v>15</v>
      </c>
      <c r="F19" s="17">
        <v>23</v>
      </c>
      <c r="G19" s="18">
        <v>30</v>
      </c>
      <c r="H19" s="16" t="s">
        <v>34</v>
      </c>
    </row>
    <row r="20" spans="1:9" ht="13.5" customHeight="1" x14ac:dyDescent="0.2">
      <c r="A20" s="19" t="s">
        <v>35</v>
      </c>
      <c r="B20" s="20">
        <v>6082560</v>
      </c>
      <c r="C20" s="20">
        <v>16</v>
      </c>
      <c r="D20" s="20">
        <v>21</v>
      </c>
      <c r="E20" s="20">
        <v>30</v>
      </c>
      <c r="F20" s="20">
        <v>45</v>
      </c>
      <c r="G20" s="21">
        <v>33</v>
      </c>
      <c r="H20" s="19" t="s">
        <v>36</v>
      </c>
    </row>
    <row r="21" spans="1:9" ht="13.5" customHeight="1" x14ac:dyDescent="0.2">
      <c r="A21" s="16" t="s">
        <v>37</v>
      </c>
      <c r="B21" s="17">
        <v>15667200</v>
      </c>
      <c r="C21" s="17">
        <v>39</v>
      </c>
      <c r="D21" s="17">
        <v>54</v>
      </c>
      <c r="E21" s="17">
        <v>76</v>
      </c>
      <c r="F21" s="17">
        <v>114</v>
      </c>
      <c r="G21" s="18">
        <v>60</v>
      </c>
      <c r="H21" s="16" t="s">
        <v>38</v>
      </c>
    </row>
    <row r="22" spans="1:9" ht="13.5" customHeight="1" x14ac:dyDescent="0.2">
      <c r="A22" s="19" t="s">
        <v>39</v>
      </c>
      <c r="B22" s="20">
        <v>31334400</v>
      </c>
      <c r="C22" s="20">
        <v>78</v>
      </c>
      <c r="D22" s="20">
        <v>108</v>
      </c>
      <c r="E22" s="20">
        <v>152</v>
      </c>
      <c r="F22" s="20">
        <v>227</v>
      </c>
      <c r="G22" s="21">
        <v>63</v>
      </c>
      <c r="H22" s="19" t="s">
        <v>40</v>
      </c>
    </row>
    <row r="23" spans="1:9" ht="13.5" customHeight="1" x14ac:dyDescent="0.2">
      <c r="A23" s="16" t="s">
        <v>41</v>
      </c>
      <c r="B23" s="17">
        <v>66846720</v>
      </c>
      <c r="C23" s="17">
        <v>114</v>
      </c>
      <c r="D23" s="17">
        <v>159</v>
      </c>
      <c r="E23" s="17">
        <v>222</v>
      </c>
      <c r="F23" s="17">
        <v>333</v>
      </c>
      <c r="G23" s="18">
        <v>90</v>
      </c>
      <c r="H23" s="16" t="s">
        <v>42</v>
      </c>
    </row>
    <row r="24" spans="1:9" ht="13.5" customHeight="1" x14ac:dyDescent="0.2">
      <c r="A24" s="19" t="s">
        <v>43</v>
      </c>
      <c r="B24" s="20">
        <v>133693440</v>
      </c>
      <c r="C24" s="20">
        <v>227</v>
      </c>
      <c r="D24" s="20">
        <v>317</v>
      </c>
      <c r="E24" s="20">
        <v>444</v>
      </c>
      <c r="F24" s="20">
        <v>666</v>
      </c>
      <c r="G24" s="21">
        <v>93</v>
      </c>
      <c r="H24" s="19" t="s">
        <v>44</v>
      </c>
    </row>
    <row r="25" spans="1:9" ht="13.5" customHeight="1" x14ac:dyDescent="0.2">
      <c r="A25" s="16" t="s">
        <v>45</v>
      </c>
      <c r="B25" s="17">
        <v>265420800</v>
      </c>
      <c r="C25" s="17">
        <v>455</v>
      </c>
      <c r="D25" s="17">
        <v>637</v>
      </c>
      <c r="E25" s="17">
        <v>892</v>
      </c>
      <c r="F25" s="17">
        <v>1338</v>
      </c>
      <c r="G25" s="18">
        <v>120</v>
      </c>
      <c r="H25" s="16" t="s">
        <v>46</v>
      </c>
    </row>
    <row r="26" spans="1:9" ht="13.5" customHeight="1" x14ac:dyDescent="0.2">
      <c r="A26" s="19" t="s">
        <v>47</v>
      </c>
      <c r="B26" s="20">
        <v>530841600</v>
      </c>
      <c r="C26" s="20">
        <v>910</v>
      </c>
      <c r="D26" s="20">
        <v>1274</v>
      </c>
      <c r="E26" s="20">
        <v>1784</v>
      </c>
      <c r="F26" s="20">
        <v>2675</v>
      </c>
      <c r="G26" s="21">
        <v>122</v>
      </c>
      <c r="H26" s="19" t="s">
        <v>48</v>
      </c>
    </row>
    <row r="27" spans="1:9" ht="13.5" customHeight="1" x14ac:dyDescent="0.2">
      <c r="A27" s="16" t="s">
        <v>49</v>
      </c>
      <c r="B27" s="17">
        <v>1061683200</v>
      </c>
      <c r="C27" s="17">
        <v>1820</v>
      </c>
      <c r="D27" s="17">
        <v>2548</v>
      </c>
      <c r="E27" s="17">
        <v>3567</v>
      </c>
      <c r="F27" s="17">
        <v>5350</v>
      </c>
      <c r="G27" s="18">
        <v>150</v>
      </c>
      <c r="H27" s="16" t="s">
        <v>50</v>
      </c>
    </row>
    <row r="28" spans="1:9" ht="13.5" customHeight="1" x14ac:dyDescent="0.2">
      <c r="A28" s="19" t="s">
        <v>51</v>
      </c>
      <c r="B28" s="20">
        <v>2123366400</v>
      </c>
      <c r="C28" s="20">
        <v>3639</v>
      </c>
      <c r="D28" s="20">
        <v>5095</v>
      </c>
      <c r="E28" s="20">
        <v>7133</v>
      </c>
      <c r="F28" s="20">
        <v>10699</v>
      </c>
      <c r="G28" s="21">
        <v>153</v>
      </c>
      <c r="H28" s="19" t="s">
        <v>52</v>
      </c>
    </row>
    <row r="29" spans="1:9" ht="13.5" customHeight="1" x14ac:dyDescent="0.2">
      <c r="A29" s="16" t="s">
        <v>53</v>
      </c>
      <c r="B29" s="17">
        <v>4777574400</v>
      </c>
      <c r="C29" s="17">
        <v>7278</v>
      </c>
      <c r="D29" s="17">
        <v>10189</v>
      </c>
      <c r="E29" s="17">
        <v>14265</v>
      </c>
      <c r="F29" s="17">
        <v>21397</v>
      </c>
      <c r="G29" s="18">
        <v>180</v>
      </c>
      <c r="H29" s="16" t="s">
        <v>54</v>
      </c>
    </row>
    <row r="30" spans="1:9" ht="13.5" customHeight="1" x14ac:dyDescent="0.2">
      <c r="A30" s="19" t="s">
        <v>55</v>
      </c>
      <c r="B30" s="20">
        <v>8493465600</v>
      </c>
      <c r="C30" s="20">
        <v>14556</v>
      </c>
      <c r="D30" s="20">
        <v>20378</v>
      </c>
      <c r="E30" s="20">
        <v>28529</v>
      </c>
      <c r="F30" s="20">
        <v>42793</v>
      </c>
      <c r="G30" s="21">
        <v>183</v>
      </c>
      <c r="H30" s="19" t="s">
        <v>56</v>
      </c>
    </row>
    <row r="31" spans="1:9" ht="13.5" customHeight="1" x14ac:dyDescent="0.2">
      <c r="A31" s="16" t="s">
        <v>57</v>
      </c>
      <c r="B31" s="17">
        <v>16986931200</v>
      </c>
      <c r="C31" s="17">
        <v>29111</v>
      </c>
      <c r="D31" s="17">
        <v>40756</v>
      </c>
      <c r="E31" s="17">
        <v>57058</v>
      </c>
      <c r="F31" s="17">
        <v>85586</v>
      </c>
      <c r="G31" s="18">
        <v>210</v>
      </c>
      <c r="H31" s="16" t="s">
        <v>58</v>
      </c>
    </row>
    <row r="33" spans="1:18" ht="18" customHeight="1" x14ac:dyDescent="0.2">
      <c r="A33" s="3" t="s">
        <v>59</v>
      </c>
      <c r="B33" s="3"/>
      <c r="C33" s="22">
        <v>3</v>
      </c>
      <c r="D33" s="2" t="s">
        <v>60</v>
      </c>
      <c r="E33" s="2"/>
      <c r="F33" s="2"/>
      <c r="G33" s="2"/>
      <c r="H33" s="2"/>
      <c r="I33" s="2"/>
    </row>
    <row r="35" spans="1:18" ht="45.75" customHeight="1" x14ac:dyDescent="0.2">
      <c r="A35" s="23" t="s">
        <v>61</v>
      </c>
      <c r="B35" s="23" t="s">
        <v>62</v>
      </c>
      <c r="C35" s="23" t="s">
        <v>63</v>
      </c>
      <c r="D35" s="24" t="s">
        <v>64</v>
      </c>
      <c r="E35" s="24" t="s">
        <v>65</v>
      </c>
      <c r="F35" s="24" t="s">
        <v>66</v>
      </c>
      <c r="G35" s="24" t="s">
        <v>67</v>
      </c>
      <c r="H35" s="24" t="s">
        <v>68</v>
      </c>
      <c r="I35" s="24" t="s">
        <v>69</v>
      </c>
      <c r="J35" s="15" t="s">
        <v>70</v>
      </c>
      <c r="K35" s="15" t="s">
        <v>71</v>
      </c>
      <c r="L35" s="25" t="s">
        <v>72</v>
      </c>
      <c r="M35" s="25" t="s">
        <v>73</v>
      </c>
      <c r="N35" s="25" t="s">
        <v>74</v>
      </c>
      <c r="O35" s="25" t="s">
        <v>75</v>
      </c>
      <c r="P35" s="26" t="s">
        <v>76</v>
      </c>
      <c r="Q35" s="26" t="s">
        <v>77</v>
      </c>
      <c r="R35" s="26" t="s">
        <v>78</v>
      </c>
    </row>
    <row r="36" spans="1:18" ht="15.75" customHeight="1" x14ac:dyDescent="0.2">
      <c r="A36" s="27" t="s">
        <v>79</v>
      </c>
      <c r="B36" s="12">
        <v>1280</v>
      </c>
      <c r="C36" s="12">
        <v>720</v>
      </c>
      <c r="D36" s="28">
        <f>CEILING(B36/$C$4,1)</f>
        <v>80</v>
      </c>
      <c r="E36" s="28">
        <f>CEILING(C36/$C$4,1)</f>
        <v>45</v>
      </c>
      <c r="F36" s="29">
        <f>D36*E36</f>
        <v>3600</v>
      </c>
      <c r="G36" s="29">
        <f>F36*$C$8</f>
        <v>43200</v>
      </c>
      <c r="H36" s="30">
        <f>B36*C36</f>
        <v>921600</v>
      </c>
      <c r="I36" s="30">
        <f>H36*$C$9</f>
        <v>55296000</v>
      </c>
      <c r="J36" s="31" t="str">
        <f>IFERROR(INDEX($A$19:$A$31,MATCH(I36-1,$B$19:$B$31,1)+1),"&gt;")</f>
        <v>3</v>
      </c>
      <c r="K36" s="32">
        <f>IFERROR(INDEX(CHOOSE($C$33+1,$C$19:$C$31,$D$19:$D$31,$E$19:$E$31,$F$19:$F$31),MATCH(I36-1,$B$19:$B$31,1)+1),0)</f>
        <v>333</v>
      </c>
      <c r="L36" s="33">
        <f>IFERROR(K36*1000000/($C$9*G36),0)</f>
        <v>128.47222222222223</v>
      </c>
      <c r="M36" s="33">
        <f>IFERROR((L36-$C$13)/$C$12,0)</f>
        <v>20.412037037037038</v>
      </c>
      <c r="N36" s="28">
        <f>$C$11</f>
        <v>127</v>
      </c>
      <c r="O36" s="33">
        <f>M36*$C$14</f>
        <v>40.824074074074076</v>
      </c>
      <c r="P36" s="34">
        <f>IFERROR(CEILING(M36*G36*$C$9/($C$10*1000000),1),0)</f>
        <v>1</v>
      </c>
      <c r="Q36" s="34">
        <f>IFERROR(CEILING($C$11*G36*$C$9/($C$10*1000000),1),0)</f>
        <v>3</v>
      </c>
      <c r="R36" s="35">
        <f>IFERROR(CEILING(O36*G36*$C$9/($C$10*1000000),1),0)</f>
        <v>1</v>
      </c>
    </row>
    <row r="37" spans="1:18" ht="15.75" customHeight="1" x14ac:dyDescent="0.2">
      <c r="A37" s="36" t="s">
        <v>80</v>
      </c>
      <c r="B37" s="12">
        <v>1920</v>
      </c>
      <c r="C37" s="12">
        <v>1080</v>
      </c>
      <c r="D37" s="21">
        <f>CEILING(B37/$C$4,1)</f>
        <v>120</v>
      </c>
      <c r="E37" s="21">
        <f>CEILING(C37/$C$4,1)</f>
        <v>68</v>
      </c>
      <c r="F37" s="37">
        <f>D37*E37</f>
        <v>8160</v>
      </c>
      <c r="G37" s="37">
        <f>F37*$C$8</f>
        <v>97920</v>
      </c>
      <c r="H37" s="20">
        <f>B37*C37</f>
        <v>2073600</v>
      </c>
      <c r="I37" s="20">
        <f>H37*$C$9</f>
        <v>124416000</v>
      </c>
      <c r="J37" s="31" t="str">
        <f>IFERROR(INDEX($A$19:$A$31,MATCH(I37-1,$B$19:$B$31,1)+1),"&gt;")</f>
        <v>3.1</v>
      </c>
      <c r="K37" s="32">
        <f>IFERROR(INDEX(CHOOSE($C$33+1,$C$19:$C$31,$D$19:$D$31,$E$19:$E$31,$F$19:$F$31),MATCH(I37-1,$B$19:$B$31,1)+1),0)</f>
        <v>666</v>
      </c>
      <c r="L37" s="38">
        <f>IFERROR(K37*1000000/($C$9*G37),0)</f>
        <v>113.3578431372549</v>
      </c>
      <c r="M37" s="38">
        <f>IFERROR((L37-$C$13)/$C$12,0)</f>
        <v>17.892973856209149</v>
      </c>
      <c r="N37" s="21">
        <f>$C$11</f>
        <v>127</v>
      </c>
      <c r="O37" s="38">
        <f>M37*$C$14</f>
        <v>35.785947712418299</v>
      </c>
      <c r="P37" s="34">
        <f>IFERROR(CEILING(M37*G37*$C$9/($C$10*1000000),1),0)</f>
        <v>1</v>
      </c>
      <c r="Q37" s="34">
        <f>IFERROR(CEILING($C$11*G37*$C$9/($C$10*1000000),1),0)</f>
        <v>5</v>
      </c>
      <c r="R37" s="35">
        <f>IFERROR(CEILING(O37*G37*$C$9/($C$10*1000000),1),0)</f>
        <v>2</v>
      </c>
    </row>
    <row r="38" spans="1:18" ht="15.75" customHeight="1" x14ac:dyDescent="0.2">
      <c r="A38" s="27" t="s">
        <v>81</v>
      </c>
      <c r="B38" s="12">
        <v>2048</v>
      </c>
      <c r="C38" s="12">
        <v>1080</v>
      </c>
      <c r="D38" s="28">
        <f>CEILING(B38/$C$4,1)</f>
        <v>128</v>
      </c>
      <c r="E38" s="28">
        <f>CEILING(C38/$C$4,1)</f>
        <v>68</v>
      </c>
      <c r="F38" s="29">
        <f>D38*E38</f>
        <v>8704</v>
      </c>
      <c r="G38" s="29">
        <f>F38*$C$8</f>
        <v>104448</v>
      </c>
      <c r="H38" s="30">
        <f>B38*C38</f>
        <v>2211840</v>
      </c>
      <c r="I38" s="30">
        <f>H38*$C$9</f>
        <v>132710400</v>
      </c>
      <c r="J38" s="31" t="str">
        <f>IFERROR(INDEX($A$19:$A$31,MATCH(I38-1,$B$19:$B$31,1)+1),"&gt;")</f>
        <v>3.1</v>
      </c>
      <c r="K38" s="32">
        <f>IFERROR(INDEX(CHOOSE($C$33+1,$C$19:$C$31,$D$19:$D$31,$E$19:$E$31,$F$19:$F$31),MATCH(I38-1,$B$19:$B$31,1)+1),0)</f>
        <v>666</v>
      </c>
      <c r="L38" s="33">
        <f>IFERROR(K38*1000000/($C$9*G38),0)</f>
        <v>106.27297794117646</v>
      </c>
      <c r="M38" s="33">
        <f>IFERROR((L38-$C$13)/$C$12,0)</f>
        <v>16.712162990196077</v>
      </c>
      <c r="N38" s="28">
        <f>$C$11</f>
        <v>127</v>
      </c>
      <c r="O38" s="33">
        <f>M38*$C$14</f>
        <v>33.424325980392155</v>
      </c>
      <c r="P38" s="34">
        <f>IFERROR(CEILING(M38*G38*$C$9/($C$10*1000000),1),0)</f>
        <v>1</v>
      </c>
      <c r="Q38" s="34">
        <f>IFERROR(CEILING($C$11*G38*$C$9/($C$10*1000000),1),0)</f>
        <v>6</v>
      </c>
      <c r="R38" s="35">
        <f>IFERROR(CEILING(O38*G38*$C$9/($C$10*1000000),1),0)</f>
        <v>2</v>
      </c>
    </row>
    <row r="39" spans="1:18" ht="15.75" customHeight="1" x14ac:dyDescent="0.2">
      <c r="A39" s="36" t="s">
        <v>82</v>
      </c>
      <c r="B39" s="12">
        <v>3840</v>
      </c>
      <c r="C39" s="12">
        <v>2160</v>
      </c>
      <c r="D39" s="21">
        <f>CEILING(B39/$C$4,1)</f>
        <v>240</v>
      </c>
      <c r="E39" s="21">
        <f>CEILING(C39/$C$4,1)</f>
        <v>135</v>
      </c>
      <c r="F39" s="37">
        <f>D39*E39</f>
        <v>32400</v>
      </c>
      <c r="G39" s="37">
        <f>F39*$C$8</f>
        <v>388800</v>
      </c>
      <c r="H39" s="20">
        <f>B39*C39</f>
        <v>8294400</v>
      </c>
      <c r="I39" s="20">
        <f>H39*$C$9</f>
        <v>497664000</v>
      </c>
      <c r="J39" s="31" t="str">
        <f>IFERROR(INDEX($A$19:$A$31,MATCH(I39-1,$B$19:$B$31,1)+1),"&gt;")</f>
        <v>4.1</v>
      </c>
      <c r="K39" s="32">
        <f>IFERROR(INDEX(CHOOSE($C$33+1,$C$19:$C$31,$D$19:$D$31,$E$19:$E$31,$F$19:$F$31),MATCH(I39-1,$B$19:$B$31,1)+1),0)</f>
        <v>2675</v>
      </c>
      <c r="L39" s="38">
        <f>IFERROR(K39*1000000/($C$9*G39),0)</f>
        <v>114.66906721536351</v>
      </c>
      <c r="M39" s="38">
        <f>IFERROR((L39-$C$13)/$C$12,0)</f>
        <v>18.111511202560585</v>
      </c>
      <c r="N39" s="21">
        <f>$C$11</f>
        <v>127</v>
      </c>
      <c r="O39" s="38">
        <f>M39*$C$14</f>
        <v>36.223022405121171</v>
      </c>
      <c r="P39" s="34">
        <f>IFERROR(CEILING(M39*G39*$C$9/($C$10*1000000),1),0)</f>
        <v>3</v>
      </c>
      <c r="Q39" s="34">
        <f>IFERROR(CEILING($C$11*G39*$C$9/($C$10*1000000),1),0)</f>
        <v>20</v>
      </c>
      <c r="R39" s="35">
        <f>IFERROR(CEILING(O39*G39*$C$9/($C$10*1000000),1),0)</f>
        <v>6</v>
      </c>
    </row>
    <row r="40" spans="1:18" ht="15.75" customHeight="1" x14ac:dyDescent="0.2">
      <c r="A40" s="27" t="s">
        <v>83</v>
      </c>
      <c r="B40" s="12">
        <v>4096</v>
      </c>
      <c r="C40" s="12">
        <v>2160</v>
      </c>
      <c r="D40" s="28">
        <f>CEILING(B40/$C$4,1)</f>
        <v>256</v>
      </c>
      <c r="E40" s="28">
        <f>CEILING(C40/$C$4,1)</f>
        <v>135</v>
      </c>
      <c r="F40" s="29">
        <f>D40*E40</f>
        <v>34560</v>
      </c>
      <c r="G40" s="29">
        <f>F40*$C$8</f>
        <v>414720</v>
      </c>
      <c r="H40" s="30">
        <f>B40*C40</f>
        <v>8847360</v>
      </c>
      <c r="I40" s="30">
        <f>H40*$C$9</f>
        <v>530841600</v>
      </c>
      <c r="J40" s="31" t="str">
        <f>IFERROR(INDEX($A$19:$A$31,MATCH(I40-1,$B$19:$B$31,1)+1),"&gt;")</f>
        <v>4.1</v>
      </c>
      <c r="K40" s="32">
        <f>IFERROR(INDEX(CHOOSE($C$33+1,$C$19:$C$31,$D$19:$D$31,$E$19:$E$31,$F$19:$F$31),MATCH(I40-1,$B$19:$B$31,1)+1),0)</f>
        <v>2675</v>
      </c>
      <c r="L40" s="33">
        <f>IFERROR(K40*1000000/($C$9*G40),0)</f>
        <v>107.50225051440329</v>
      </c>
      <c r="M40" s="33">
        <f>IFERROR((L40-$C$13)/$C$12,0)</f>
        <v>16.917041752400547</v>
      </c>
      <c r="N40" s="28">
        <f>$C$11</f>
        <v>127</v>
      </c>
      <c r="O40" s="33">
        <f>M40*$C$14</f>
        <v>33.834083504801093</v>
      </c>
      <c r="P40" s="34">
        <f>IFERROR(CEILING(M40*G40*$C$9/($C$10*1000000),1),0)</f>
        <v>3</v>
      </c>
      <c r="Q40" s="34">
        <f>IFERROR(CEILING($C$11*G40*$C$9/($C$10*1000000),1),0)</f>
        <v>22</v>
      </c>
      <c r="R40" s="35">
        <f>IFERROR(CEILING(O40*G40*$C$9/($C$10*1000000),1),0)</f>
        <v>6</v>
      </c>
    </row>
    <row r="41" spans="1:18" ht="15.75" customHeight="1" x14ac:dyDescent="0.2">
      <c r="A41" s="36" t="s">
        <v>84</v>
      </c>
      <c r="B41" s="12">
        <v>7680</v>
      </c>
      <c r="C41" s="12">
        <v>4320</v>
      </c>
      <c r="D41" s="21">
        <f>CEILING(B41/$C$4,1)</f>
        <v>480</v>
      </c>
      <c r="E41" s="21">
        <f>CEILING(C41/$C$4,1)</f>
        <v>270</v>
      </c>
      <c r="F41" s="37">
        <f>D41*E41</f>
        <v>129600</v>
      </c>
      <c r="G41" s="37">
        <f>F41*$C$8</f>
        <v>1555200</v>
      </c>
      <c r="H41" s="20">
        <f>B41*C41</f>
        <v>33177600</v>
      </c>
      <c r="I41" s="20">
        <f>H41*$C$9</f>
        <v>1990656000</v>
      </c>
      <c r="J41" s="31" t="str">
        <f>IFERROR(INDEX($A$19:$A$31,MATCH(I41-1,$B$19:$B$31,1)+1),"&gt;")</f>
        <v>5.1</v>
      </c>
      <c r="K41" s="32">
        <f>IFERROR(INDEX(CHOOSE($C$33+1,$C$19:$C$31,$D$19:$D$31,$E$19:$E$31,$F$19:$F$31),MATCH(I41-1,$B$19:$B$31,1)+1),0)</f>
        <v>10699</v>
      </c>
      <c r="L41" s="38">
        <f>IFERROR(K41*1000000/($C$9*G41),0)</f>
        <v>114.65835048010975</v>
      </c>
      <c r="M41" s="38">
        <f>IFERROR((L41-$C$13)/$C$12,0)</f>
        <v>18.10972508001829</v>
      </c>
      <c r="N41" s="21">
        <f>$C$11</f>
        <v>127</v>
      </c>
      <c r="O41" s="38">
        <f>M41*$C$14</f>
        <v>36.21945016003658</v>
      </c>
      <c r="P41" s="34">
        <f>IFERROR(CEILING(M41*G41*$C$9/($C$10*1000000),1),0)</f>
        <v>12</v>
      </c>
      <c r="Q41" s="34">
        <f>IFERROR(CEILING($C$11*G41*$C$9/($C$10*1000000),1),0)</f>
        <v>80</v>
      </c>
      <c r="R41" s="35">
        <f>IFERROR(CEILING(O41*G41*$C$9/($C$10*1000000),1),0)</f>
        <v>23</v>
      </c>
    </row>
    <row r="42" spans="1:18" ht="15.75" customHeight="1" x14ac:dyDescent="0.2">
      <c r="A42" s="27" t="s">
        <v>85</v>
      </c>
      <c r="B42" s="12">
        <v>8192</v>
      </c>
      <c r="C42" s="12">
        <v>4320</v>
      </c>
      <c r="D42" s="28">
        <f>CEILING(B42/$C$4,1)</f>
        <v>512</v>
      </c>
      <c r="E42" s="28">
        <f>CEILING(C42/$C$4,1)</f>
        <v>270</v>
      </c>
      <c r="F42" s="29">
        <f>D42*E42</f>
        <v>138240</v>
      </c>
      <c r="G42" s="29">
        <f>F42*$C$8</f>
        <v>1658880</v>
      </c>
      <c r="H42" s="30">
        <f>B42*C42</f>
        <v>35389440</v>
      </c>
      <c r="I42" s="30">
        <f>H42*$C$9</f>
        <v>2123366400</v>
      </c>
      <c r="J42" s="31" t="str">
        <f>IFERROR(INDEX($A$19:$A$31,MATCH(I42-1,$B$19:$B$31,1)+1),"&gt;")</f>
        <v>5.1</v>
      </c>
      <c r="K42" s="32">
        <f>IFERROR(INDEX(CHOOSE($C$33+1,$C$19:$C$31,$D$19:$D$31,$E$19:$E$31,$F$19:$F$31),MATCH(I42-1,$B$19:$B$31,1)+1),0)</f>
        <v>10699</v>
      </c>
      <c r="L42" s="33">
        <f>IFERROR(K42*1000000/($C$9*G42),0)</f>
        <v>107.49220357510288</v>
      </c>
      <c r="M42" s="33">
        <f>IFERROR((L42-$C$13)/$C$12,0)</f>
        <v>16.915367262517147</v>
      </c>
      <c r="N42" s="28">
        <f>$C$11</f>
        <v>127</v>
      </c>
      <c r="O42" s="33">
        <f>M42*$C$14</f>
        <v>33.830734525034295</v>
      </c>
      <c r="P42" s="34">
        <f>IFERROR(CEILING(M42*G42*$C$9/($C$10*1000000),1),0)</f>
        <v>12</v>
      </c>
      <c r="Q42" s="34">
        <f>IFERROR(CEILING($C$11*G42*$C$9/($C$10*1000000),1),0)</f>
        <v>85</v>
      </c>
      <c r="R42" s="35">
        <f>IFERROR(CEILING(O42*G42*$C$9/($C$10*1000000),1),0)</f>
        <v>23</v>
      </c>
    </row>
    <row r="45" spans="1:18" ht="13.5" customHeight="1" x14ac:dyDescent="0.2">
      <c r="A45" s="1" t="s">
        <v>86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30">
    <mergeCell ref="A45:R45"/>
    <mergeCell ref="A14:B14"/>
    <mergeCell ref="D14:I14"/>
    <mergeCell ref="A15:I15"/>
    <mergeCell ref="A17:I17"/>
    <mergeCell ref="A33:B33"/>
    <mergeCell ref="D33:I33"/>
    <mergeCell ref="A11:B11"/>
    <mergeCell ref="D11:I11"/>
    <mergeCell ref="A12:B12"/>
    <mergeCell ref="D12:I12"/>
    <mergeCell ref="A13:B13"/>
    <mergeCell ref="D13:I13"/>
    <mergeCell ref="A8:B8"/>
    <mergeCell ref="D8:I8"/>
    <mergeCell ref="A9:B9"/>
    <mergeCell ref="D9:I9"/>
    <mergeCell ref="A10:B10"/>
    <mergeCell ref="D10:I10"/>
    <mergeCell ref="A5:B5"/>
    <mergeCell ref="D5:I5"/>
    <mergeCell ref="A6:B6"/>
    <mergeCell ref="D6:I6"/>
    <mergeCell ref="A7:B7"/>
    <mergeCell ref="D7:I7"/>
    <mergeCell ref="A1:R1"/>
    <mergeCell ref="A2:R2"/>
    <mergeCell ref="A3:F3"/>
    <mergeCell ref="A4:B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"/>
  <sheetViews>
    <sheetView zoomScaleNormal="100" workbookViewId="0">
      <pane ySplit="1" topLeftCell="A2" activePane="bottomLeft" state="frozen"/>
      <selection pane="bottomLeft" activeCell="A36" sqref="A36"/>
    </sheetView>
  </sheetViews>
  <sheetFormatPr defaultColWidth="8.7421875" defaultRowHeight="15" x14ac:dyDescent="0.2"/>
  <cols>
    <col min="1" max="1" width="13.046875" style="11" customWidth="1"/>
    <col min="2" max="5" width="6.9921875" style="11" customWidth="1"/>
    <col min="6" max="6" width="9.01171875" style="11" customWidth="1"/>
    <col min="7" max="7" width="11.02734375" style="11" customWidth="1"/>
    <col min="8" max="8" width="9.953125" style="11" customWidth="1"/>
    <col min="9" max="9" width="11.02734375" style="11" customWidth="1"/>
    <col min="10" max="10" width="6.9921875" style="11" customWidth="1"/>
    <col min="11" max="11" width="9.953125" style="11" customWidth="1"/>
    <col min="12" max="12" width="7.93359375" style="11" customWidth="1"/>
    <col min="13" max="15" width="9.01171875" style="11" customWidth="1"/>
    <col min="16" max="17" width="7.93359375" style="11" customWidth="1"/>
    <col min="18" max="18" width="9.01171875" style="11" customWidth="1"/>
  </cols>
  <sheetData>
    <row r="1" spans="1:18" ht="21.75" customHeight="1" x14ac:dyDescent="0.2">
      <c r="A1" s="10" t="s">
        <v>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3.5" customHeight="1" x14ac:dyDescent="0.2">
      <c r="A2" s="9" t="s">
        <v>95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.75" customHeight="1" x14ac:dyDescent="0.2">
      <c r="A3" s="8" t="s">
        <v>2</v>
      </c>
      <c r="B3" s="8"/>
      <c r="C3" s="8"/>
      <c r="D3" s="8"/>
      <c r="E3" s="8"/>
      <c r="F3" s="8"/>
    </row>
    <row r="4" spans="1:18" ht="15" customHeight="1" x14ac:dyDescent="0.2">
      <c r="A4" s="7" t="s">
        <v>3</v>
      </c>
      <c r="B4" s="7"/>
      <c r="C4" s="12">
        <v>16</v>
      </c>
      <c r="D4" s="6" t="s">
        <v>4</v>
      </c>
      <c r="E4" s="6"/>
      <c r="F4" s="6"/>
      <c r="G4" s="6"/>
      <c r="H4" s="6"/>
      <c r="I4" s="6"/>
    </row>
    <row r="5" spans="1:18" ht="15" customHeight="1" x14ac:dyDescent="0.2">
      <c r="A5" s="7" t="s">
        <v>96</v>
      </c>
      <c r="B5" s="7"/>
      <c r="C5" s="12">
        <v>1</v>
      </c>
      <c r="D5" s="6" t="s">
        <v>6</v>
      </c>
      <c r="E5" s="6"/>
      <c r="F5" s="6"/>
      <c r="G5" s="6"/>
      <c r="H5" s="6"/>
      <c r="I5" s="6"/>
    </row>
    <row r="6" spans="1:18" ht="15" customHeight="1" x14ac:dyDescent="0.2">
      <c r="A6" s="7" t="s">
        <v>97</v>
      </c>
      <c r="B6" s="7"/>
      <c r="C6" s="12">
        <v>1</v>
      </c>
      <c r="D6" s="6" t="s">
        <v>6</v>
      </c>
      <c r="E6" s="6"/>
      <c r="F6" s="6"/>
      <c r="G6" s="6"/>
      <c r="H6" s="6"/>
      <c r="I6" s="6"/>
    </row>
    <row r="7" spans="1:18" ht="15" customHeight="1" x14ac:dyDescent="0.2">
      <c r="A7" s="7" t="s">
        <v>98</v>
      </c>
      <c r="B7" s="7"/>
      <c r="C7" s="12">
        <v>4</v>
      </c>
      <c r="D7" s="6" t="s">
        <v>9</v>
      </c>
      <c r="E7" s="6"/>
      <c r="F7" s="6"/>
      <c r="G7" s="6"/>
      <c r="H7" s="6"/>
      <c r="I7" s="6"/>
    </row>
    <row r="8" spans="1:18" ht="15" customHeight="1" x14ac:dyDescent="0.2">
      <c r="A8" s="7" t="s">
        <v>99</v>
      </c>
      <c r="B8" s="7"/>
      <c r="C8" s="12">
        <v>16</v>
      </c>
      <c r="D8" s="6" t="s">
        <v>100</v>
      </c>
      <c r="E8" s="6"/>
      <c r="F8" s="6"/>
      <c r="G8" s="6"/>
      <c r="H8" s="6"/>
      <c r="I8" s="6"/>
    </row>
    <row r="9" spans="1:18" ht="15" customHeight="1" x14ac:dyDescent="0.2">
      <c r="A9" s="7" t="s">
        <v>12</v>
      </c>
      <c r="B9" s="7"/>
      <c r="C9" s="12">
        <v>60</v>
      </c>
      <c r="D9" s="6" t="s">
        <v>13</v>
      </c>
      <c r="E9" s="6"/>
      <c r="F9" s="6"/>
      <c r="G9" s="6"/>
      <c r="H9" s="6"/>
      <c r="I9" s="6"/>
    </row>
    <row r="10" spans="1:18" ht="15" customHeight="1" x14ac:dyDescent="0.2">
      <c r="A10" s="7" t="s">
        <v>14</v>
      </c>
      <c r="B10" s="7"/>
      <c r="C10" s="13">
        <v>150</v>
      </c>
      <c r="D10" s="6" t="s">
        <v>15</v>
      </c>
      <c r="E10" s="6"/>
      <c r="F10" s="6"/>
      <c r="G10" s="6"/>
      <c r="H10" s="6"/>
      <c r="I10" s="6"/>
    </row>
    <row r="11" spans="1:18" ht="15" customHeight="1" x14ac:dyDescent="0.2">
      <c r="A11" s="7" t="s">
        <v>16</v>
      </c>
      <c r="B11" s="7"/>
      <c r="C11" s="12">
        <v>127</v>
      </c>
      <c r="D11" s="6" t="s">
        <v>17</v>
      </c>
      <c r="E11" s="6"/>
      <c r="F11" s="6"/>
      <c r="G11" s="6"/>
      <c r="H11" s="6"/>
      <c r="I11" s="6"/>
    </row>
    <row r="12" spans="1:18" ht="15" customHeight="1" x14ac:dyDescent="0.2">
      <c r="A12" s="7" t="s">
        <v>18</v>
      </c>
      <c r="B12" s="7"/>
      <c r="C12" s="12">
        <v>6</v>
      </c>
      <c r="D12" s="6" t="s">
        <v>19</v>
      </c>
      <c r="E12" s="6"/>
      <c r="F12" s="6"/>
      <c r="G12" s="6"/>
      <c r="H12" s="6"/>
      <c r="I12" s="6"/>
    </row>
    <row r="13" spans="1:18" ht="15" customHeight="1" x14ac:dyDescent="0.2">
      <c r="A13" s="7" t="s">
        <v>20</v>
      </c>
      <c r="B13" s="7"/>
      <c r="C13" s="12">
        <v>6</v>
      </c>
      <c r="D13" s="6" t="s">
        <v>19</v>
      </c>
      <c r="E13" s="6"/>
      <c r="F13" s="6"/>
      <c r="G13" s="6"/>
      <c r="H13" s="6"/>
      <c r="I13" s="6"/>
    </row>
    <row r="14" spans="1:18" ht="15" customHeight="1" x14ac:dyDescent="0.2">
      <c r="A14" s="7" t="s">
        <v>21</v>
      </c>
      <c r="B14" s="7"/>
      <c r="C14" s="14">
        <v>2</v>
      </c>
      <c r="D14" s="6" t="s">
        <v>22</v>
      </c>
      <c r="E14" s="6"/>
      <c r="F14" s="6"/>
      <c r="G14" s="6"/>
      <c r="H14" s="6"/>
      <c r="I14" s="6"/>
    </row>
    <row r="15" spans="1:18" ht="13.5" customHeight="1" x14ac:dyDescent="0.2">
      <c r="A15" s="5" t="s">
        <v>23</v>
      </c>
      <c r="B15" s="5"/>
      <c r="C15" s="5"/>
      <c r="D15" s="5"/>
      <c r="E15" s="5"/>
      <c r="F15" s="5"/>
      <c r="G15" s="5"/>
      <c r="H15" s="5"/>
      <c r="I15" s="5"/>
    </row>
    <row r="17" spans="1:9" ht="15.75" customHeight="1" x14ac:dyDescent="0.2">
      <c r="A17" s="4" t="s">
        <v>24</v>
      </c>
      <c r="B17" s="4"/>
      <c r="C17" s="4"/>
      <c r="D17" s="4"/>
      <c r="E17" s="4"/>
      <c r="F17" s="4"/>
      <c r="G17" s="4"/>
      <c r="H17" s="4"/>
      <c r="I17" s="4"/>
    </row>
    <row r="18" spans="1:9" ht="33.75" customHeight="1" x14ac:dyDescent="0.2">
      <c r="A18" s="15" t="s">
        <v>25</v>
      </c>
      <c r="B18" s="15" t="s">
        <v>26</v>
      </c>
      <c r="C18" s="15" t="s">
        <v>27</v>
      </c>
      <c r="D18" s="15" t="s">
        <v>28</v>
      </c>
      <c r="E18" s="15" t="s">
        <v>29</v>
      </c>
      <c r="F18" s="15" t="s">
        <v>30</v>
      </c>
      <c r="G18" s="15" t="s">
        <v>31</v>
      </c>
      <c r="H18" s="15" t="s">
        <v>32</v>
      </c>
    </row>
    <row r="19" spans="1:9" ht="13.5" customHeight="1" x14ac:dyDescent="0.2">
      <c r="A19" s="16" t="s">
        <v>33</v>
      </c>
      <c r="B19" s="17">
        <v>3041280</v>
      </c>
      <c r="C19" s="17">
        <v>8</v>
      </c>
      <c r="D19" s="17">
        <v>11</v>
      </c>
      <c r="E19" s="17">
        <v>15</v>
      </c>
      <c r="F19" s="17">
        <v>23</v>
      </c>
      <c r="G19" s="18">
        <v>30</v>
      </c>
      <c r="H19" s="16" t="s">
        <v>34</v>
      </c>
    </row>
    <row r="20" spans="1:9" ht="13.5" customHeight="1" x14ac:dyDescent="0.2">
      <c r="A20" s="19" t="s">
        <v>35</v>
      </c>
      <c r="B20" s="20">
        <v>6082560</v>
      </c>
      <c r="C20" s="20">
        <v>16</v>
      </c>
      <c r="D20" s="20">
        <v>21</v>
      </c>
      <c r="E20" s="20">
        <v>30</v>
      </c>
      <c r="F20" s="20">
        <v>45</v>
      </c>
      <c r="G20" s="21">
        <v>33</v>
      </c>
      <c r="H20" s="19" t="s">
        <v>36</v>
      </c>
    </row>
    <row r="21" spans="1:9" ht="13.5" customHeight="1" x14ac:dyDescent="0.2">
      <c r="A21" s="16" t="s">
        <v>37</v>
      </c>
      <c r="B21" s="17">
        <v>15667200</v>
      </c>
      <c r="C21" s="17">
        <v>39</v>
      </c>
      <c r="D21" s="17">
        <v>54</v>
      </c>
      <c r="E21" s="17">
        <v>76</v>
      </c>
      <c r="F21" s="17">
        <v>114</v>
      </c>
      <c r="G21" s="18">
        <v>60</v>
      </c>
      <c r="H21" s="16" t="s">
        <v>38</v>
      </c>
    </row>
    <row r="22" spans="1:9" ht="13.5" customHeight="1" x14ac:dyDescent="0.2">
      <c r="A22" s="19" t="s">
        <v>39</v>
      </c>
      <c r="B22" s="20">
        <v>31334400</v>
      </c>
      <c r="C22" s="20">
        <v>78</v>
      </c>
      <c r="D22" s="20">
        <v>108</v>
      </c>
      <c r="E22" s="20">
        <v>152</v>
      </c>
      <c r="F22" s="20">
        <v>227</v>
      </c>
      <c r="G22" s="21">
        <v>63</v>
      </c>
      <c r="H22" s="19" t="s">
        <v>40</v>
      </c>
    </row>
    <row r="23" spans="1:9" ht="13.5" customHeight="1" x14ac:dyDescent="0.2">
      <c r="A23" s="16" t="s">
        <v>41</v>
      </c>
      <c r="B23" s="17">
        <v>66846720</v>
      </c>
      <c r="C23" s="17">
        <v>114</v>
      </c>
      <c r="D23" s="17">
        <v>159</v>
      </c>
      <c r="E23" s="17">
        <v>222</v>
      </c>
      <c r="F23" s="17">
        <v>333</v>
      </c>
      <c r="G23" s="18">
        <v>90</v>
      </c>
      <c r="H23" s="16" t="s">
        <v>42</v>
      </c>
    </row>
    <row r="24" spans="1:9" ht="13.5" customHeight="1" x14ac:dyDescent="0.2">
      <c r="A24" s="19" t="s">
        <v>43</v>
      </c>
      <c r="B24" s="20">
        <v>133693440</v>
      </c>
      <c r="C24" s="20">
        <v>227</v>
      </c>
      <c r="D24" s="20">
        <v>317</v>
      </c>
      <c r="E24" s="20">
        <v>444</v>
      </c>
      <c r="F24" s="20">
        <v>666</v>
      </c>
      <c r="G24" s="21">
        <v>93</v>
      </c>
      <c r="H24" s="19" t="s">
        <v>44</v>
      </c>
    </row>
    <row r="25" spans="1:9" ht="13.5" customHeight="1" x14ac:dyDescent="0.2">
      <c r="A25" s="16" t="s">
        <v>45</v>
      </c>
      <c r="B25" s="17">
        <v>265420800</v>
      </c>
      <c r="C25" s="17">
        <v>455</v>
      </c>
      <c r="D25" s="17">
        <v>637</v>
      </c>
      <c r="E25" s="17">
        <v>892</v>
      </c>
      <c r="F25" s="17">
        <v>1338</v>
      </c>
      <c r="G25" s="18">
        <v>120</v>
      </c>
      <c r="H25" s="16" t="s">
        <v>46</v>
      </c>
    </row>
    <row r="26" spans="1:9" ht="13.5" customHeight="1" x14ac:dyDescent="0.2">
      <c r="A26" s="19" t="s">
        <v>47</v>
      </c>
      <c r="B26" s="20">
        <v>530841600</v>
      </c>
      <c r="C26" s="20">
        <v>910</v>
      </c>
      <c r="D26" s="20">
        <v>1274</v>
      </c>
      <c r="E26" s="20">
        <v>1784</v>
      </c>
      <c r="F26" s="20">
        <v>2675</v>
      </c>
      <c r="G26" s="21">
        <v>122</v>
      </c>
      <c r="H26" s="19" t="s">
        <v>48</v>
      </c>
    </row>
    <row r="27" spans="1:9" ht="13.5" customHeight="1" x14ac:dyDescent="0.2">
      <c r="A27" s="16" t="s">
        <v>49</v>
      </c>
      <c r="B27" s="17">
        <v>1061683200</v>
      </c>
      <c r="C27" s="17">
        <v>1820</v>
      </c>
      <c r="D27" s="17">
        <v>2548</v>
      </c>
      <c r="E27" s="17">
        <v>3567</v>
      </c>
      <c r="F27" s="17">
        <v>5350</v>
      </c>
      <c r="G27" s="18">
        <v>150</v>
      </c>
      <c r="H27" s="16" t="s">
        <v>50</v>
      </c>
    </row>
    <row r="28" spans="1:9" ht="13.5" customHeight="1" x14ac:dyDescent="0.2">
      <c r="A28" s="19" t="s">
        <v>51</v>
      </c>
      <c r="B28" s="20">
        <v>2123366400</v>
      </c>
      <c r="C28" s="20">
        <v>3639</v>
      </c>
      <c r="D28" s="20">
        <v>5095</v>
      </c>
      <c r="E28" s="20">
        <v>7133</v>
      </c>
      <c r="F28" s="20">
        <v>10699</v>
      </c>
      <c r="G28" s="21">
        <v>153</v>
      </c>
      <c r="H28" s="19" t="s">
        <v>52</v>
      </c>
    </row>
    <row r="29" spans="1:9" ht="13.5" customHeight="1" x14ac:dyDescent="0.2">
      <c r="A29" s="16" t="s">
        <v>53</v>
      </c>
      <c r="B29" s="17">
        <v>4777574400</v>
      </c>
      <c r="C29" s="17">
        <v>7278</v>
      </c>
      <c r="D29" s="17">
        <v>10189</v>
      </c>
      <c r="E29" s="17">
        <v>14265</v>
      </c>
      <c r="F29" s="17">
        <v>21397</v>
      </c>
      <c r="G29" s="18">
        <v>180</v>
      </c>
      <c r="H29" s="16" t="s">
        <v>54</v>
      </c>
    </row>
    <row r="30" spans="1:9" ht="13.5" customHeight="1" x14ac:dyDescent="0.2">
      <c r="A30" s="19" t="s">
        <v>55</v>
      </c>
      <c r="B30" s="20">
        <v>8493465600</v>
      </c>
      <c r="C30" s="20">
        <v>14556</v>
      </c>
      <c r="D30" s="20">
        <v>20378</v>
      </c>
      <c r="E30" s="20">
        <v>28529</v>
      </c>
      <c r="F30" s="20">
        <v>42793</v>
      </c>
      <c r="G30" s="21">
        <v>183</v>
      </c>
      <c r="H30" s="19" t="s">
        <v>56</v>
      </c>
    </row>
    <row r="31" spans="1:9" ht="13.5" customHeight="1" x14ac:dyDescent="0.2">
      <c r="A31" s="16" t="s">
        <v>57</v>
      </c>
      <c r="B31" s="17">
        <v>16986931200</v>
      </c>
      <c r="C31" s="17">
        <v>29111</v>
      </c>
      <c r="D31" s="17">
        <v>40756</v>
      </c>
      <c r="E31" s="17">
        <v>57058</v>
      </c>
      <c r="F31" s="17">
        <v>85586</v>
      </c>
      <c r="G31" s="18">
        <v>210</v>
      </c>
      <c r="H31" s="16" t="s">
        <v>58</v>
      </c>
    </row>
    <row r="33" spans="1:18" ht="18" customHeight="1" x14ac:dyDescent="0.2">
      <c r="A33" s="3" t="s">
        <v>59</v>
      </c>
      <c r="B33" s="3"/>
      <c r="C33" s="22">
        <v>3</v>
      </c>
      <c r="D33" s="2" t="s">
        <v>60</v>
      </c>
      <c r="E33" s="2"/>
      <c r="F33" s="2"/>
      <c r="G33" s="2"/>
      <c r="H33" s="2"/>
      <c r="I33" s="2"/>
    </row>
    <row r="35" spans="1:18" ht="45.75" customHeight="1" x14ac:dyDescent="0.2">
      <c r="A35" s="23" t="s">
        <v>61</v>
      </c>
      <c r="B35" s="23" t="s">
        <v>62</v>
      </c>
      <c r="C35" s="23" t="s">
        <v>63</v>
      </c>
      <c r="D35" s="24" t="s">
        <v>64</v>
      </c>
      <c r="E35" s="24" t="s">
        <v>65</v>
      </c>
      <c r="F35" s="24" t="s">
        <v>66</v>
      </c>
      <c r="G35" s="24" t="s">
        <v>67</v>
      </c>
      <c r="H35" s="24" t="s">
        <v>68</v>
      </c>
      <c r="I35" s="24" t="s">
        <v>69</v>
      </c>
      <c r="J35" s="15" t="s">
        <v>70</v>
      </c>
      <c r="K35" s="15" t="s">
        <v>71</v>
      </c>
      <c r="L35" s="25" t="s">
        <v>72</v>
      </c>
      <c r="M35" s="25" t="s">
        <v>73</v>
      </c>
      <c r="N35" s="25" t="s">
        <v>74</v>
      </c>
      <c r="O35" s="25" t="s">
        <v>75</v>
      </c>
      <c r="P35" s="26" t="s">
        <v>76</v>
      </c>
      <c r="Q35" s="26" t="s">
        <v>77</v>
      </c>
      <c r="R35" s="26" t="s">
        <v>78</v>
      </c>
    </row>
    <row r="36" spans="1:18" ht="15.75" customHeight="1" x14ac:dyDescent="0.2">
      <c r="A36" s="27" t="s">
        <v>79</v>
      </c>
      <c r="B36" s="12">
        <v>1280</v>
      </c>
      <c r="C36" s="12">
        <v>720</v>
      </c>
      <c r="D36" s="28">
        <f>CEILING(B36/$C$4,1)</f>
        <v>80</v>
      </c>
      <c r="E36" s="28">
        <f>CEILING(C36/$C$4,1)</f>
        <v>45</v>
      </c>
      <c r="F36" s="29">
        <f>D36*E36</f>
        <v>3600</v>
      </c>
      <c r="G36" s="29">
        <f>F36*$C$8</f>
        <v>57600</v>
      </c>
      <c r="H36" s="30">
        <f>B36*C36</f>
        <v>921600</v>
      </c>
      <c r="I36" s="30">
        <f>H36*$C$9</f>
        <v>55296000</v>
      </c>
      <c r="J36" s="31" t="str">
        <f>IFERROR(INDEX($A$19:$A$31,MATCH(I36-1,$B$19:$B$31,1)+1),"&gt;")</f>
        <v>3</v>
      </c>
      <c r="K36" s="32">
        <f>IFERROR(INDEX(CHOOSE($C$33+1,$C$19:$C$31,$D$19:$D$31,$E$19:$E$31,$F$19:$F$31),MATCH(I36-1,$B$19:$B$31,1)+1),0)</f>
        <v>333</v>
      </c>
      <c r="L36" s="33">
        <f>IFERROR(K36*1000000/($C$9*G36),0)</f>
        <v>96.354166666666671</v>
      </c>
      <c r="M36" s="33">
        <f>IFERROR((L36-$C$13)/$C$12,0)</f>
        <v>15.059027777777779</v>
      </c>
      <c r="N36" s="28">
        <f>$C$11</f>
        <v>127</v>
      </c>
      <c r="O36" s="33">
        <f>M36*$C$14</f>
        <v>30.118055555555557</v>
      </c>
      <c r="P36" s="34">
        <f>IFERROR(CEILING(M36*G36*$C$9/($C$10*1000000),1),0)</f>
        <v>1</v>
      </c>
      <c r="Q36" s="34">
        <f>IFERROR(CEILING($C$11*G36*$C$9/($C$10*1000000),1),0)</f>
        <v>3</v>
      </c>
      <c r="R36" s="35">
        <f>IFERROR(CEILING(O36*G36*$C$9/($C$10*1000000),1),0)</f>
        <v>1</v>
      </c>
    </row>
    <row r="37" spans="1:18" ht="15.75" customHeight="1" x14ac:dyDescent="0.2">
      <c r="A37" s="36" t="s">
        <v>80</v>
      </c>
      <c r="B37" s="12">
        <v>1920</v>
      </c>
      <c r="C37" s="12">
        <v>1080</v>
      </c>
      <c r="D37" s="21">
        <f>CEILING(B37/$C$4,1)</f>
        <v>120</v>
      </c>
      <c r="E37" s="21">
        <f>CEILING(C37/$C$4,1)</f>
        <v>68</v>
      </c>
      <c r="F37" s="37">
        <f>D37*E37</f>
        <v>8160</v>
      </c>
      <c r="G37" s="37">
        <f>F37*$C$8</f>
        <v>130560</v>
      </c>
      <c r="H37" s="20">
        <f>B37*C37</f>
        <v>2073600</v>
      </c>
      <c r="I37" s="20">
        <f>H37*$C$9</f>
        <v>124416000</v>
      </c>
      <c r="J37" s="31" t="str">
        <f>IFERROR(INDEX($A$19:$A$31,MATCH(I37-1,$B$19:$B$31,1)+1),"&gt;")</f>
        <v>3.1</v>
      </c>
      <c r="K37" s="32">
        <f>IFERROR(INDEX(CHOOSE($C$33+1,$C$19:$C$31,$D$19:$D$31,$E$19:$E$31,$F$19:$F$31),MATCH(I37-1,$B$19:$B$31,1)+1),0)</f>
        <v>666</v>
      </c>
      <c r="L37" s="38">
        <f>IFERROR(K37*1000000/($C$9*G37),0)</f>
        <v>85.018382352941174</v>
      </c>
      <c r="M37" s="38">
        <f>IFERROR((L37-$C$13)/$C$12,0)</f>
        <v>13.169730392156863</v>
      </c>
      <c r="N37" s="21">
        <f>$C$11</f>
        <v>127</v>
      </c>
      <c r="O37" s="38">
        <f>M37*$C$14</f>
        <v>26.339460784313726</v>
      </c>
      <c r="P37" s="34">
        <f>IFERROR(CEILING(M37*G37*$C$9/($C$10*1000000),1),0)</f>
        <v>1</v>
      </c>
      <c r="Q37" s="34">
        <f>IFERROR(CEILING($C$11*G37*$C$9/($C$10*1000000),1),0)</f>
        <v>7</v>
      </c>
      <c r="R37" s="35">
        <f>IFERROR(CEILING(O37*G37*$C$9/($C$10*1000000),1),0)</f>
        <v>2</v>
      </c>
    </row>
    <row r="38" spans="1:18" ht="15.75" customHeight="1" x14ac:dyDescent="0.2">
      <c r="A38" s="27" t="s">
        <v>81</v>
      </c>
      <c r="B38" s="12">
        <v>2048</v>
      </c>
      <c r="C38" s="12">
        <v>1080</v>
      </c>
      <c r="D38" s="28">
        <f>CEILING(B38/$C$4,1)</f>
        <v>128</v>
      </c>
      <c r="E38" s="28">
        <f>CEILING(C38/$C$4,1)</f>
        <v>68</v>
      </c>
      <c r="F38" s="29">
        <f>D38*E38</f>
        <v>8704</v>
      </c>
      <c r="G38" s="29">
        <f>F38*$C$8</f>
        <v>139264</v>
      </c>
      <c r="H38" s="30">
        <f>B38*C38</f>
        <v>2211840</v>
      </c>
      <c r="I38" s="30">
        <f>H38*$C$9</f>
        <v>132710400</v>
      </c>
      <c r="J38" s="31" t="str">
        <f>IFERROR(INDEX($A$19:$A$31,MATCH(I38-1,$B$19:$B$31,1)+1),"&gt;")</f>
        <v>3.1</v>
      </c>
      <c r="K38" s="32">
        <f>IFERROR(INDEX(CHOOSE($C$33+1,$C$19:$C$31,$D$19:$D$31,$E$19:$E$31,$F$19:$F$31),MATCH(I38-1,$B$19:$B$31,1)+1),0)</f>
        <v>666</v>
      </c>
      <c r="L38" s="33">
        <f>IFERROR(K38*1000000/($C$9*G38),0)</f>
        <v>79.704733455882348</v>
      </c>
      <c r="M38" s="33">
        <f>IFERROR((L38-$C$13)/$C$12,0)</f>
        <v>12.284122242647058</v>
      </c>
      <c r="N38" s="28">
        <f>$C$11</f>
        <v>127</v>
      </c>
      <c r="O38" s="33">
        <f>M38*$C$14</f>
        <v>24.568244485294116</v>
      </c>
      <c r="P38" s="34">
        <f>IFERROR(CEILING(M38*G38*$C$9/($C$10*1000000),1),0)</f>
        <v>1</v>
      </c>
      <c r="Q38" s="34">
        <f>IFERROR(CEILING($C$11*G38*$C$9/($C$10*1000000),1),0)</f>
        <v>8</v>
      </c>
      <c r="R38" s="35">
        <f>IFERROR(CEILING(O38*G38*$C$9/($C$10*1000000),1),0)</f>
        <v>2</v>
      </c>
    </row>
    <row r="39" spans="1:18" ht="15.75" customHeight="1" x14ac:dyDescent="0.2">
      <c r="A39" s="36" t="s">
        <v>82</v>
      </c>
      <c r="B39" s="12">
        <v>3840</v>
      </c>
      <c r="C39" s="12">
        <v>2160</v>
      </c>
      <c r="D39" s="21">
        <f>CEILING(B39/$C$4,1)</f>
        <v>240</v>
      </c>
      <c r="E39" s="21">
        <f>CEILING(C39/$C$4,1)</f>
        <v>135</v>
      </c>
      <c r="F39" s="37">
        <f>D39*E39</f>
        <v>32400</v>
      </c>
      <c r="G39" s="37">
        <f>F39*$C$8</f>
        <v>518400</v>
      </c>
      <c r="H39" s="20">
        <f>B39*C39</f>
        <v>8294400</v>
      </c>
      <c r="I39" s="20">
        <f>H39*$C$9</f>
        <v>497664000</v>
      </c>
      <c r="J39" s="31" t="str">
        <f>IFERROR(INDEX($A$19:$A$31,MATCH(I39-1,$B$19:$B$31,1)+1),"&gt;")</f>
        <v>4.1</v>
      </c>
      <c r="K39" s="32">
        <f>IFERROR(INDEX(CHOOSE($C$33+1,$C$19:$C$31,$D$19:$D$31,$E$19:$E$31,$F$19:$F$31),MATCH(I39-1,$B$19:$B$31,1)+1),0)</f>
        <v>2675</v>
      </c>
      <c r="L39" s="38">
        <f>IFERROR(K39*1000000/($C$9*G39),0)</f>
        <v>86.001800411522638</v>
      </c>
      <c r="M39" s="38">
        <f>IFERROR((L39-$C$13)/$C$12,0)</f>
        <v>13.333633401920439</v>
      </c>
      <c r="N39" s="21">
        <f>$C$11</f>
        <v>127</v>
      </c>
      <c r="O39" s="38">
        <f>M39*$C$14</f>
        <v>26.667266803840878</v>
      </c>
      <c r="P39" s="34">
        <f>IFERROR(CEILING(M39*G39*$C$9/($C$10*1000000),1),0)</f>
        <v>3</v>
      </c>
      <c r="Q39" s="34">
        <f>IFERROR(CEILING($C$11*G39*$C$9/($C$10*1000000),1),0)</f>
        <v>27</v>
      </c>
      <c r="R39" s="35">
        <f>IFERROR(CEILING(O39*G39*$C$9/($C$10*1000000),1),0)</f>
        <v>6</v>
      </c>
    </row>
    <row r="40" spans="1:18" ht="15.75" customHeight="1" x14ac:dyDescent="0.2">
      <c r="A40" s="27" t="s">
        <v>83</v>
      </c>
      <c r="B40" s="12">
        <v>4096</v>
      </c>
      <c r="C40" s="12">
        <v>2160</v>
      </c>
      <c r="D40" s="28">
        <f>CEILING(B40/$C$4,1)</f>
        <v>256</v>
      </c>
      <c r="E40" s="28">
        <f>CEILING(C40/$C$4,1)</f>
        <v>135</v>
      </c>
      <c r="F40" s="29">
        <f>D40*E40</f>
        <v>34560</v>
      </c>
      <c r="G40" s="29">
        <f>F40*$C$8</f>
        <v>552960</v>
      </c>
      <c r="H40" s="30">
        <f>B40*C40</f>
        <v>8847360</v>
      </c>
      <c r="I40" s="30">
        <f>H40*$C$9</f>
        <v>530841600</v>
      </c>
      <c r="J40" s="31" t="str">
        <f>IFERROR(INDEX($A$19:$A$31,MATCH(I40-1,$B$19:$B$31,1)+1),"&gt;")</f>
        <v>4.1</v>
      </c>
      <c r="K40" s="32">
        <f>IFERROR(INDEX(CHOOSE($C$33+1,$C$19:$C$31,$D$19:$D$31,$E$19:$E$31,$F$19:$F$31),MATCH(I40-1,$B$19:$B$31,1)+1),0)</f>
        <v>2675</v>
      </c>
      <c r="L40" s="33">
        <f>IFERROR(K40*1000000/($C$9*G40),0)</f>
        <v>80.626687885802468</v>
      </c>
      <c r="M40" s="33">
        <f>IFERROR((L40-$C$13)/$C$12,0)</f>
        <v>12.437781314300411</v>
      </c>
      <c r="N40" s="28">
        <f>$C$11</f>
        <v>127</v>
      </c>
      <c r="O40" s="33">
        <f>M40*$C$14</f>
        <v>24.875562628600822</v>
      </c>
      <c r="P40" s="34">
        <f>IFERROR(CEILING(M40*G40*$C$9/($C$10*1000000),1),0)</f>
        <v>3</v>
      </c>
      <c r="Q40" s="34">
        <f>IFERROR(CEILING($C$11*G40*$C$9/($C$10*1000000),1),0)</f>
        <v>29</v>
      </c>
      <c r="R40" s="35">
        <f>IFERROR(CEILING(O40*G40*$C$9/($C$10*1000000),1),0)</f>
        <v>6</v>
      </c>
    </row>
    <row r="41" spans="1:18" ht="15.75" customHeight="1" x14ac:dyDescent="0.2">
      <c r="A41" s="36" t="s">
        <v>84</v>
      </c>
      <c r="B41" s="12">
        <v>7680</v>
      </c>
      <c r="C41" s="12">
        <v>4320</v>
      </c>
      <c r="D41" s="21">
        <f>CEILING(B41/$C$4,1)</f>
        <v>480</v>
      </c>
      <c r="E41" s="21">
        <f>CEILING(C41/$C$4,1)</f>
        <v>270</v>
      </c>
      <c r="F41" s="37">
        <f>D41*E41</f>
        <v>129600</v>
      </c>
      <c r="G41" s="37">
        <f>F41*$C$8</f>
        <v>2073600</v>
      </c>
      <c r="H41" s="20">
        <f>B41*C41</f>
        <v>33177600</v>
      </c>
      <c r="I41" s="20">
        <f>H41*$C$9</f>
        <v>1990656000</v>
      </c>
      <c r="J41" s="31" t="str">
        <f>IFERROR(INDEX($A$19:$A$31,MATCH(I41-1,$B$19:$B$31,1)+1),"&gt;")</f>
        <v>5.1</v>
      </c>
      <c r="K41" s="32">
        <f>IFERROR(INDEX(CHOOSE($C$33+1,$C$19:$C$31,$D$19:$D$31,$E$19:$E$31,$F$19:$F$31),MATCH(I41-1,$B$19:$B$31,1)+1),0)</f>
        <v>10699</v>
      </c>
      <c r="L41" s="38">
        <f>IFERROR(K41*1000000/($C$9*G41),0)</f>
        <v>85.993762860082299</v>
      </c>
      <c r="M41" s="38">
        <f>IFERROR((L41-$C$13)/$C$12,0)</f>
        <v>13.332293810013716</v>
      </c>
      <c r="N41" s="21">
        <f>$C$11</f>
        <v>127</v>
      </c>
      <c r="O41" s="38">
        <f>M41*$C$14</f>
        <v>26.664587620027433</v>
      </c>
      <c r="P41" s="34">
        <f>IFERROR(CEILING(M41*G41*$C$9/($C$10*1000000),1),0)</f>
        <v>12</v>
      </c>
      <c r="Q41" s="34">
        <f>IFERROR(CEILING($C$11*G41*$C$9/($C$10*1000000),1),0)</f>
        <v>106</v>
      </c>
      <c r="R41" s="35">
        <f>IFERROR(CEILING(O41*G41*$C$9/($C$10*1000000),1),0)</f>
        <v>23</v>
      </c>
    </row>
    <row r="42" spans="1:18" ht="15.75" customHeight="1" x14ac:dyDescent="0.2">
      <c r="A42" s="27" t="s">
        <v>85</v>
      </c>
      <c r="B42" s="12">
        <v>8192</v>
      </c>
      <c r="C42" s="12">
        <v>4320</v>
      </c>
      <c r="D42" s="28">
        <f>CEILING(B42/$C$4,1)</f>
        <v>512</v>
      </c>
      <c r="E42" s="28">
        <f>CEILING(C42/$C$4,1)</f>
        <v>270</v>
      </c>
      <c r="F42" s="29">
        <f>D42*E42</f>
        <v>138240</v>
      </c>
      <c r="G42" s="29">
        <f>F42*$C$8</f>
        <v>2211840</v>
      </c>
      <c r="H42" s="30">
        <f>B42*C42</f>
        <v>35389440</v>
      </c>
      <c r="I42" s="30">
        <f>H42*$C$9</f>
        <v>2123366400</v>
      </c>
      <c r="J42" s="31" t="str">
        <f>IFERROR(INDEX($A$19:$A$31,MATCH(I42-1,$B$19:$B$31,1)+1),"&gt;")</f>
        <v>5.1</v>
      </c>
      <c r="K42" s="32">
        <f>IFERROR(INDEX(CHOOSE($C$33+1,$C$19:$C$31,$D$19:$D$31,$E$19:$E$31,$F$19:$F$31),MATCH(I42-1,$B$19:$B$31,1)+1),0)</f>
        <v>10699</v>
      </c>
      <c r="L42" s="33">
        <f>IFERROR(K42*1000000/($C$9*G42),0)</f>
        <v>80.619152681327165</v>
      </c>
      <c r="M42" s="33">
        <f>IFERROR((L42-$C$13)/$C$12,0)</f>
        <v>12.436525446887861</v>
      </c>
      <c r="N42" s="28">
        <f>$C$11</f>
        <v>127</v>
      </c>
      <c r="O42" s="33">
        <f>M42*$C$14</f>
        <v>24.873050893775723</v>
      </c>
      <c r="P42" s="34">
        <f>IFERROR(CEILING(M42*G42*$C$9/($C$10*1000000),1),0)</f>
        <v>12</v>
      </c>
      <c r="Q42" s="34">
        <f>IFERROR(CEILING($C$11*G42*$C$9/($C$10*1000000),1),0)</f>
        <v>113</v>
      </c>
      <c r="R42" s="35">
        <f>IFERROR(CEILING(O42*G42*$C$9/($C$10*1000000),1),0)</f>
        <v>23</v>
      </c>
    </row>
    <row r="45" spans="1:18" ht="13.5" customHeight="1" x14ac:dyDescent="0.2">
      <c r="A45" s="1" t="s">
        <v>86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30">
    <mergeCell ref="A45:R45"/>
    <mergeCell ref="A14:B14"/>
    <mergeCell ref="D14:I14"/>
    <mergeCell ref="A15:I15"/>
    <mergeCell ref="A17:I17"/>
    <mergeCell ref="A33:B33"/>
    <mergeCell ref="D33:I33"/>
    <mergeCell ref="A11:B11"/>
    <mergeCell ref="D11:I11"/>
    <mergeCell ref="A12:B12"/>
    <mergeCell ref="D12:I12"/>
    <mergeCell ref="A13:B13"/>
    <mergeCell ref="D13:I13"/>
    <mergeCell ref="A8:B8"/>
    <mergeCell ref="D8:I8"/>
    <mergeCell ref="A9:B9"/>
    <mergeCell ref="D9:I9"/>
    <mergeCell ref="A10:B10"/>
    <mergeCell ref="D10:I10"/>
    <mergeCell ref="A5:B5"/>
    <mergeCell ref="D5:I5"/>
    <mergeCell ref="A6:B6"/>
    <mergeCell ref="D6:I6"/>
    <mergeCell ref="A7:B7"/>
    <mergeCell ref="D7:I7"/>
    <mergeCell ref="A1:R1"/>
    <mergeCell ref="A2:R2"/>
    <mergeCell ref="A3:F3"/>
    <mergeCell ref="A4:B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4-2-2</vt:lpstr>
      <vt:lpstr>4-4-4</vt:lpstr>
      <vt:lpstr>4-4-4-4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2026-07-20T11:39:07Z</dcterms:created>
  <dcterms:modified xsi:type="dcterms:W3CDTF">2026-07-20T11:48:21Z</dcterms:modified>
  <dc:language>en-US</dc:language>
</cp:coreProperties>
</file>