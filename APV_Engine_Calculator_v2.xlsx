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B697B827B2FE1D9D691C712A441D11F98E56DBC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4-2-2" sheetId="1" r:id="rId1"/>
    <sheet name="4-4-4" sheetId="2" r:id="rId2"/>
    <sheet name="4-4-4-4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1" i="3" l="1"/>
  <c r="O41" i="3"/>
  <c r="Q41" i="3"/>
  <c r="D41" i="3"/>
  <c r="F41" i="3"/>
  <c r="E41" i="3"/>
  <c r="G41" i="3"/>
  <c r="H41" i="3"/>
  <c r="K41" i="3"/>
  <c r="I41" i="3"/>
  <c r="L41" i="3"/>
  <c r="M41" i="3"/>
  <c r="R41" i="3"/>
  <c r="S41" i="3"/>
  <c r="U41" i="3"/>
  <c r="X41" i="3"/>
  <c r="W41" i="3"/>
  <c r="V41" i="3"/>
  <c r="T41" i="3"/>
  <c r="P41" i="3"/>
  <c r="J41" i="3"/>
  <c r="N40" i="3"/>
  <c r="O40" i="3"/>
  <c r="Q40" i="3"/>
  <c r="D40" i="3"/>
  <c r="F40" i="3"/>
  <c r="E40" i="3"/>
  <c r="G40" i="3"/>
  <c r="H40" i="3"/>
  <c r="K40" i="3"/>
  <c r="I40" i="3"/>
  <c r="L40" i="3"/>
  <c r="M40" i="3"/>
  <c r="R40" i="3"/>
  <c r="S40" i="3"/>
  <c r="U40" i="3"/>
  <c r="X40" i="3"/>
  <c r="W40" i="3"/>
  <c r="V40" i="3"/>
  <c r="T40" i="3"/>
  <c r="P40" i="3"/>
  <c r="J40" i="3"/>
  <c r="N39" i="3"/>
  <c r="O39" i="3"/>
  <c r="Q39" i="3"/>
  <c r="D39" i="3"/>
  <c r="F39" i="3"/>
  <c r="E39" i="3"/>
  <c r="G39" i="3"/>
  <c r="H39" i="3"/>
  <c r="K39" i="3"/>
  <c r="I39" i="3"/>
  <c r="L39" i="3"/>
  <c r="M39" i="3"/>
  <c r="R39" i="3"/>
  <c r="S39" i="3"/>
  <c r="U39" i="3"/>
  <c r="X39" i="3"/>
  <c r="W39" i="3"/>
  <c r="V39" i="3"/>
  <c r="T39" i="3"/>
  <c r="P39" i="3"/>
  <c r="J39" i="3"/>
  <c r="N38" i="3"/>
  <c r="O38" i="3"/>
  <c r="Q38" i="3"/>
  <c r="D38" i="3"/>
  <c r="F38" i="3"/>
  <c r="E38" i="3"/>
  <c r="G38" i="3"/>
  <c r="H38" i="3"/>
  <c r="K38" i="3"/>
  <c r="I38" i="3"/>
  <c r="L38" i="3"/>
  <c r="M38" i="3"/>
  <c r="R38" i="3"/>
  <c r="S38" i="3"/>
  <c r="U38" i="3"/>
  <c r="X38" i="3"/>
  <c r="W38" i="3"/>
  <c r="V38" i="3"/>
  <c r="T38" i="3"/>
  <c r="P38" i="3"/>
  <c r="J38" i="3"/>
  <c r="N37" i="3"/>
  <c r="O37" i="3"/>
  <c r="Q37" i="3"/>
  <c r="D37" i="3"/>
  <c r="F37" i="3"/>
  <c r="E37" i="3"/>
  <c r="G37" i="3"/>
  <c r="H37" i="3"/>
  <c r="K37" i="3"/>
  <c r="I37" i="3"/>
  <c r="L37" i="3"/>
  <c r="M37" i="3"/>
  <c r="R37" i="3"/>
  <c r="S37" i="3"/>
  <c r="U37" i="3"/>
  <c r="X37" i="3"/>
  <c r="W37" i="3"/>
  <c r="V37" i="3"/>
  <c r="T37" i="3"/>
  <c r="P37" i="3"/>
  <c r="J37" i="3"/>
  <c r="N36" i="3"/>
  <c r="O36" i="3"/>
  <c r="Q36" i="3"/>
  <c r="D36" i="3"/>
  <c r="F36" i="3"/>
  <c r="E36" i="3"/>
  <c r="G36" i="3"/>
  <c r="H36" i="3"/>
  <c r="K36" i="3"/>
  <c r="I36" i="3"/>
  <c r="L36" i="3"/>
  <c r="M36" i="3"/>
  <c r="R36" i="3"/>
  <c r="S36" i="3"/>
  <c r="U36" i="3"/>
  <c r="X36" i="3"/>
  <c r="W36" i="3"/>
  <c r="V36" i="3"/>
  <c r="T36" i="3"/>
  <c r="P36" i="3"/>
  <c r="J36" i="3"/>
  <c r="N35" i="3"/>
  <c r="O35" i="3"/>
  <c r="Q35" i="3"/>
  <c r="D35" i="3"/>
  <c r="F35" i="3"/>
  <c r="E35" i="3"/>
  <c r="G35" i="3"/>
  <c r="H35" i="3"/>
  <c r="K35" i="3"/>
  <c r="I35" i="3"/>
  <c r="L35" i="3"/>
  <c r="M35" i="3"/>
  <c r="R35" i="3"/>
  <c r="S35" i="3"/>
  <c r="U35" i="3"/>
  <c r="X35" i="3"/>
  <c r="W35" i="3"/>
  <c r="V35" i="3"/>
  <c r="T35" i="3"/>
  <c r="P35" i="3"/>
  <c r="J35" i="3"/>
  <c r="N41" i="2"/>
  <c r="O41" i="2"/>
  <c r="Q41" i="2"/>
  <c r="D41" i="2"/>
  <c r="F41" i="2"/>
  <c r="E41" i="2"/>
  <c r="G41" i="2"/>
  <c r="H41" i="2"/>
  <c r="K41" i="2"/>
  <c r="I41" i="2"/>
  <c r="L41" i="2"/>
  <c r="M41" i="2"/>
  <c r="R41" i="2"/>
  <c r="S41" i="2"/>
  <c r="U41" i="2"/>
  <c r="X41" i="2"/>
  <c r="W41" i="2"/>
  <c r="V41" i="2"/>
  <c r="T41" i="2"/>
  <c r="P41" i="2"/>
  <c r="J41" i="2"/>
  <c r="N40" i="2"/>
  <c r="O40" i="2"/>
  <c r="Q40" i="2"/>
  <c r="D40" i="2"/>
  <c r="F40" i="2"/>
  <c r="E40" i="2"/>
  <c r="G40" i="2"/>
  <c r="H40" i="2"/>
  <c r="K40" i="2"/>
  <c r="I40" i="2"/>
  <c r="L40" i="2"/>
  <c r="M40" i="2"/>
  <c r="R40" i="2"/>
  <c r="S40" i="2"/>
  <c r="U40" i="2"/>
  <c r="X40" i="2"/>
  <c r="W40" i="2"/>
  <c r="V40" i="2"/>
  <c r="T40" i="2"/>
  <c r="P40" i="2"/>
  <c r="J40" i="2"/>
  <c r="N39" i="2"/>
  <c r="O39" i="2"/>
  <c r="Q39" i="2"/>
  <c r="D39" i="2"/>
  <c r="F39" i="2"/>
  <c r="E39" i="2"/>
  <c r="G39" i="2"/>
  <c r="H39" i="2"/>
  <c r="K39" i="2"/>
  <c r="I39" i="2"/>
  <c r="L39" i="2"/>
  <c r="M39" i="2"/>
  <c r="R39" i="2"/>
  <c r="S39" i="2"/>
  <c r="U39" i="2"/>
  <c r="X39" i="2"/>
  <c r="W39" i="2"/>
  <c r="V39" i="2"/>
  <c r="T39" i="2"/>
  <c r="P39" i="2"/>
  <c r="J39" i="2"/>
  <c r="N38" i="2"/>
  <c r="O38" i="2"/>
  <c r="Q38" i="2"/>
  <c r="D38" i="2"/>
  <c r="F38" i="2"/>
  <c r="E38" i="2"/>
  <c r="G38" i="2"/>
  <c r="H38" i="2"/>
  <c r="K38" i="2"/>
  <c r="I38" i="2"/>
  <c r="L38" i="2"/>
  <c r="M38" i="2"/>
  <c r="R38" i="2"/>
  <c r="S38" i="2"/>
  <c r="U38" i="2"/>
  <c r="X38" i="2"/>
  <c r="W38" i="2"/>
  <c r="V38" i="2"/>
  <c r="T38" i="2"/>
  <c r="P38" i="2"/>
  <c r="J38" i="2"/>
  <c r="N37" i="2"/>
  <c r="O37" i="2"/>
  <c r="Q37" i="2"/>
  <c r="D37" i="2"/>
  <c r="F37" i="2"/>
  <c r="E37" i="2"/>
  <c r="G37" i="2"/>
  <c r="H37" i="2"/>
  <c r="K37" i="2"/>
  <c r="I37" i="2"/>
  <c r="L37" i="2"/>
  <c r="M37" i="2"/>
  <c r="R37" i="2"/>
  <c r="S37" i="2"/>
  <c r="U37" i="2"/>
  <c r="X37" i="2"/>
  <c r="W37" i="2"/>
  <c r="V37" i="2"/>
  <c r="T37" i="2"/>
  <c r="P37" i="2"/>
  <c r="J37" i="2"/>
  <c r="N36" i="2"/>
  <c r="O36" i="2"/>
  <c r="Q36" i="2"/>
  <c r="D36" i="2"/>
  <c r="F36" i="2"/>
  <c r="E36" i="2"/>
  <c r="G36" i="2"/>
  <c r="H36" i="2"/>
  <c r="K36" i="2"/>
  <c r="I36" i="2"/>
  <c r="L36" i="2"/>
  <c r="M36" i="2"/>
  <c r="R36" i="2"/>
  <c r="S36" i="2"/>
  <c r="U36" i="2"/>
  <c r="X36" i="2"/>
  <c r="W36" i="2"/>
  <c r="V36" i="2"/>
  <c r="T36" i="2"/>
  <c r="P36" i="2"/>
  <c r="J36" i="2"/>
  <c r="N35" i="2"/>
  <c r="O35" i="2"/>
  <c r="Q35" i="2"/>
  <c r="D35" i="2"/>
  <c r="F35" i="2"/>
  <c r="E35" i="2"/>
  <c r="G35" i="2"/>
  <c r="H35" i="2"/>
  <c r="K35" i="2"/>
  <c r="I35" i="2"/>
  <c r="L35" i="2"/>
  <c r="M35" i="2"/>
  <c r="R35" i="2"/>
  <c r="S35" i="2"/>
  <c r="U35" i="2"/>
  <c r="X35" i="2"/>
  <c r="W35" i="2"/>
  <c r="V35" i="2"/>
  <c r="T35" i="2"/>
  <c r="P35" i="2"/>
  <c r="J35" i="2"/>
  <c r="N41" i="1"/>
  <c r="O41" i="1"/>
  <c r="Q41" i="1"/>
  <c r="D41" i="1"/>
  <c r="F41" i="1"/>
  <c r="E41" i="1"/>
  <c r="G41" i="1"/>
  <c r="H41" i="1"/>
  <c r="K41" i="1"/>
  <c r="I41" i="1"/>
  <c r="L41" i="1"/>
  <c r="M41" i="1"/>
  <c r="R41" i="1"/>
  <c r="S41" i="1"/>
  <c r="U41" i="1"/>
  <c r="X41" i="1"/>
  <c r="W41" i="1"/>
  <c r="V41" i="1"/>
  <c r="T41" i="1"/>
  <c r="P41" i="1"/>
  <c r="J41" i="1"/>
  <c r="N40" i="1"/>
  <c r="O40" i="1"/>
  <c r="Q40" i="1"/>
  <c r="D40" i="1"/>
  <c r="F40" i="1"/>
  <c r="E40" i="1"/>
  <c r="G40" i="1"/>
  <c r="H40" i="1"/>
  <c r="K40" i="1"/>
  <c r="I40" i="1"/>
  <c r="L40" i="1"/>
  <c r="M40" i="1"/>
  <c r="R40" i="1"/>
  <c r="S40" i="1"/>
  <c r="U40" i="1"/>
  <c r="X40" i="1"/>
  <c r="W40" i="1"/>
  <c r="V40" i="1"/>
  <c r="T40" i="1"/>
  <c r="P40" i="1"/>
  <c r="J40" i="1"/>
  <c r="N39" i="1"/>
  <c r="O39" i="1"/>
  <c r="Q39" i="1"/>
  <c r="D39" i="1"/>
  <c r="F39" i="1"/>
  <c r="E39" i="1"/>
  <c r="G39" i="1"/>
  <c r="H39" i="1"/>
  <c r="K39" i="1"/>
  <c r="I39" i="1"/>
  <c r="L39" i="1"/>
  <c r="M39" i="1"/>
  <c r="R39" i="1"/>
  <c r="S39" i="1"/>
  <c r="U39" i="1"/>
  <c r="X39" i="1"/>
  <c r="W39" i="1"/>
  <c r="V39" i="1"/>
  <c r="T39" i="1"/>
  <c r="P39" i="1"/>
  <c r="J39" i="1"/>
  <c r="N38" i="1"/>
  <c r="O38" i="1"/>
  <c r="Q38" i="1"/>
  <c r="D38" i="1"/>
  <c r="F38" i="1"/>
  <c r="E38" i="1"/>
  <c r="G38" i="1"/>
  <c r="H38" i="1"/>
  <c r="K38" i="1"/>
  <c r="I38" i="1"/>
  <c r="L38" i="1"/>
  <c r="M38" i="1"/>
  <c r="R38" i="1"/>
  <c r="S38" i="1"/>
  <c r="U38" i="1"/>
  <c r="X38" i="1"/>
  <c r="W38" i="1"/>
  <c r="V38" i="1"/>
  <c r="T38" i="1"/>
  <c r="P38" i="1"/>
  <c r="J38" i="1"/>
  <c r="N37" i="1"/>
  <c r="O37" i="1"/>
  <c r="Q37" i="1"/>
  <c r="D37" i="1"/>
  <c r="F37" i="1"/>
  <c r="E37" i="1"/>
  <c r="G37" i="1"/>
  <c r="H37" i="1"/>
  <c r="K37" i="1"/>
  <c r="I37" i="1"/>
  <c r="L37" i="1"/>
  <c r="M37" i="1"/>
  <c r="R37" i="1"/>
  <c r="S37" i="1"/>
  <c r="U37" i="1"/>
  <c r="X37" i="1"/>
  <c r="W37" i="1"/>
  <c r="V37" i="1"/>
  <c r="T37" i="1"/>
  <c r="P37" i="1"/>
  <c r="J37" i="1"/>
  <c r="N36" i="1"/>
  <c r="O36" i="1"/>
  <c r="Q36" i="1"/>
  <c r="D36" i="1"/>
  <c r="F36" i="1"/>
  <c r="E36" i="1"/>
  <c r="G36" i="1"/>
  <c r="H36" i="1"/>
  <c r="K36" i="1"/>
  <c r="I36" i="1"/>
  <c r="L36" i="1"/>
  <c r="M36" i="1"/>
  <c r="R36" i="1"/>
  <c r="S36" i="1"/>
  <c r="U36" i="1"/>
  <c r="X36" i="1"/>
  <c r="W36" i="1"/>
  <c r="V36" i="1"/>
  <c r="T36" i="1"/>
  <c r="P36" i="1"/>
  <c r="J36" i="1"/>
  <c r="N35" i="1"/>
  <c r="O35" i="1"/>
  <c r="Q35" i="1"/>
  <c r="D35" i="1"/>
  <c r="F35" i="1"/>
  <c r="E35" i="1"/>
  <c r="G35" i="1"/>
  <c r="H35" i="1"/>
  <c r="K35" i="1"/>
  <c r="I35" i="1"/>
  <c r="L35" i="1"/>
  <c r="M35" i="1"/>
  <c r="R35" i="1"/>
  <c r="S35" i="1"/>
  <c r="U35" i="1"/>
  <c r="X35" i="1"/>
  <c r="W35" i="1"/>
  <c r="V35" i="1"/>
  <c r="T35" i="1"/>
  <c r="P35" i="1"/>
  <c r="J35" i="1"/>
</calcChain>
</file>

<file path=xl/sharedStrings.xml><?xml version="1.0" encoding="utf-8"?>
<sst xmlns="http://schemas.openxmlformats.org/spreadsheetml/2006/main" count="285" uniqueCount="102">
  <si>
    <t>APV Decoder Engine Calculator - 4:2:2 - UltraScale+ (RFC 9924)</t>
  </si>
  <si>
    <t>GLOBAL ASSUMPTIONS  (change yellow/blue cells only)</t>
  </si>
  <si>
    <t>Macroblock size (px)</t>
  </si>
  <si>
    <t>Fixed - MbWidth=MbHeight=16 per RFC 9924 Sec 4.2</t>
  </si>
  <si>
    <t>Tile width (mb)</t>
  </si>
  <si>
    <t>APV tile = 16x16 mb = 256x256 luma px</t>
  </si>
  <si>
    <t>Tile height (mb)</t>
  </si>
  <si>
    <t>SubWidthC (4:2:2)</t>
  </si>
  <si>
    <t>RFC 9924 Table 2 - chroma W divisor</t>
  </si>
  <si>
    <t>SubHeightC (4:2:2)</t>
  </si>
  <si>
    <t>RFC 9924 Table 2 - chroma H divisor</t>
  </si>
  <si>
    <t>NumComps (4:2:2)</t>
  </si>
  <si>
    <t>RFC 9924 Table 2 - number of components</t>
  </si>
  <si>
    <t>Target FPS</t>
  </si>
  <si>
    <t>Frame rate - change as needed</t>
  </si>
  <si>
    <t>Final clock freq (MHz)</t>
  </si>
  <si>
    <t>KEY LEVER - throughput = freq MHz x 1e6 cw/s (1 cw per clock)</t>
  </si>
  <si>
    <t>Avg bits per h(v) codeword</t>
  </si>
  <si>
    <t>VLC avg: DC~5b, run~3b, AC~4b+sign1b =&gt; ~6b (RFC 9924 Sec 7.1)</t>
  </si>
  <si>
    <t>DC overhead bits/block</t>
  </si>
  <si>
    <t>abs_dc_coeff_diff(~5b) + sign_dc(1b) per RFC 9924 Sec 5.3.15</t>
  </si>
  <si>
    <t>Max h(v) cw/block (worst case)</t>
  </si>
  <si>
    <t>1 DC + 63 runs + 63 AC = 127 per RFC 9924 Sec 5.3.15-16</t>
  </si>
  <si>
    <t>Margin factor (spec-grounded)</t>
  </si>
  <si>
    <t>worst_cw x avg_bits / Band3_bits_per_block ~ 2.0 (RFC 9924 Table 4)</t>
  </si>
  <si>
    <t>RFC 9924 TABLE 4 - Level &amp; Band limits (Sec 9.4.2)</t>
  </si>
  <si>
    <t>Level</t>
  </si>
  <si>
    <t>Max Luma Sample
Rate (sample/sec)</t>
  </si>
  <si>
    <t>Band 0
(Mbps)</t>
  </si>
  <si>
    <t>Band 1
(Mbps)</t>
  </si>
  <si>
    <t>Band 2
(Mbps)</t>
  </si>
  <si>
    <t>Band 3
(Mbps)</t>
  </si>
  <si>
    <t>Level_idc
(=30xlevel)</t>
  </si>
  <si>
    <t>Coverage</t>
  </si>
  <si>
    <t>1</t>
  </si>
  <si>
    <t>up to 3041280 px/s</t>
  </si>
  <si>
    <t>1.1</t>
  </si>
  <si>
    <t>up to 6082560 px/s</t>
  </si>
  <si>
    <t>2</t>
  </si>
  <si>
    <t>up to 15667200 px/s</t>
  </si>
  <si>
    <t>2.1</t>
  </si>
  <si>
    <t>up to 31334400 px/s</t>
  </si>
  <si>
    <t>3</t>
  </si>
  <si>
    <t>up to 66846720 px/s</t>
  </si>
  <si>
    <t>3.1</t>
  </si>
  <si>
    <t>up to 133693440 px/s</t>
  </si>
  <si>
    <t>4</t>
  </si>
  <si>
    <t>up to 265420800 px/s</t>
  </si>
  <si>
    <t>4.1</t>
  </si>
  <si>
    <t>up to 530841600 px/s</t>
  </si>
  <si>
    <t>5</t>
  </si>
  <si>
    <t>up to 1061683200 px/s</t>
  </si>
  <si>
    <t>5.1</t>
  </si>
  <si>
    <t>up to 2123366400 px/s</t>
  </si>
  <si>
    <t>6</t>
  </si>
  <si>
    <t>up to 4777574400 px/s</t>
  </si>
  <si>
    <t>6.1</t>
  </si>
  <si>
    <t>up to 8493465600 px/s</t>
  </si>
  <si>
    <t>7</t>
  </si>
  <si>
    <t>up to 16986931200 px/s</t>
  </si>
  <si>
    <t>Active band_idc  (0-3)</t>
  </si>
  <si>
    <t>Enter 0=lowest quality, 1, 2, 3=visually lossless - engine counts update automatically</t>
  </si>
  <si>
    <t>Resolution</t>
  </si>
  <si>
    <t>Width
(px)</t>
  </si>
  <si>
    <t>Height
(px)</t>
  </si>
  <si>
    <t>Tile W
(px)</t>
  </si>
  <si>
    <t>Tile H
(px)</t>
  </si>
  <si>
    <t>Tiles
/Row</t>
  </si>
  <si>
    <t>Tiles
/Col</t>
  </si>
  <si>
    <t>Luma
Tiles</t>
  </si>
  <si>
    <t>Chroma
Tiles
(each)</t>
  </si>
  <si>
    <t>Total
Tiles</t>
  </si>
  <si>
    <t>Blks/Tile
Luma</t>
  </si>
  <si>
    <t>Blks/Tile
Chroma</t>
  </si>
  <si>
    <t>Total
Blks/Frame</t>
  </si>
  <si>
    <t>Luma px
/Frame</t>
  </si>
  <si>
    <t>Luma
Sample/sec</t>
  </si>
  <si>
    <t>Auto
Level</t>
  </si>
  <si>
    <t>MaxBitrate
(Mbps)
band</t>
  </si>
  <si>
    <t>Bits
/Block
(avg)</t>
  </si>
  <si>
    <t>CW/Block
(avg
band)</t>
  </si>
  <si>
    <t>CW/Block
(worst
127)</t>
  </si>
  <si>
    <t>CW/Block
(marg
x2.0)</t>
  </si>
  <si>
    <t>Engines
(avg)</t>
  </si>
  <si>
    <t>Engines
(worst)</t>
  </si>
  <si>
    <t>Engines
(marg)
*REC</t>
  </si>
  <si>
    <t>720p</t>
  </si>
  <si>
    <t>FHD 1080</t>
  </si>
  <si>
    <t>FHD 2K</t>
  </si>
  <si>
    <t>UHD 4K</t>
  </si>
  <si>
    <t>DCI 4K</t>
  </si>
  <si>
    <t>UHD 8K</t>
  </si>
  <si>
    <t>8K Full</t>
  </si>
  <si>
    <t>LEGEND: Blue=W/H inputs | Yellow=change these levers | Purple=auto level+bitrate from RFC 9924 Table 4 | Green *REC=recommended engines | Throughput = Clock_MHz x 1e6 cw/s (1 cw per clock at final freq) | Margin=2.0 spec-grounded from RFC 9924 Table 4</t>
  </si>
  <si>
    <t>APV Decoder Engine Calculator - 4:4:4 - UltraScale+ (RFC 9924)</t>
  </si>
  <si>
    <t>SubWidthC (4:4:4)</t>
  </si>
  <si>
    <t>SubHeightC (4:4:4)</t>
  </si>
  <si>
    <t>NumComps (4:4:4)</t>
  </si>
  <si>
    <t>APV Decoder Engine Calculator - 4:4:4:4 - UltraScale+ (RFC 9924)</t>
  </si>
  <si>
    <t>SubWidthC (4:4:4:4)</t>
  </si>
  <si>
    <t>SubHeightC (4:4:4:4)</t>
  </si>
  <si>
    <t>NumComps (4:4:4:4)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</si>
</sst>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8B"/>
      <name val="Arial"/>
      <charset val="1"/>
    </font>
    <font>
      <i/>
      <sz val="9"/>
      <color rgb="FF555555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7F6000"/>
      <name val="Arial"/>
      <charset val="1"/>
    </font>
    <font>
      <i/>
      <sz val="9"/>
      <color rgb="FF7F6000"/>
      <name val="Arial"/>
      <charset val="1"/>
    </font>
    <font>
      <b/>
      <sz val="10"/>
      <color rgb="FF4A235A"/>
      <name val="Arial"/>
      <charset val="1"/>
    </font>
    <font>
      <b/>
      <sz val="10"/>
      <color rgb="FF1A5E1A"/>
      <name val="Arial"/>
      <charset val="1"/>
    </font>
    <font>
      <i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D6E4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A235A"/>
        <bgColor rgb="FF444444"/>
      </patternFill>
    </fill>
    <fill>
      <patternFill patternType="solid">
        <fgColor rgb="FFF3E8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1A5E1A"/>
      </patternFill>
    </fill>
    <fill>
      <patternFill patternType="solid">
        <fgColor rgb="FF7F6000"/>
        <bgColor rgb="FF555555"/>
      </patternFill>
    </fill>
    <fill>
      <patternFill patternType="solid">
        <fgColor rgb="FF1A5E1A"/>
        <bgColor rgb="FF375623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2" fillId="2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1" fontId="8" fillId="6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 wrapText="1"/>
    </xf>
    <xf numFmtId="3" fontId="10" fillId="8" borderId="1" xfId="0" applyNumberFormat="1" applyFont="1" applyFill="1" applyBorder="1" applyAlignment="1">
      <alignment horizontal="center" vertical="center" wrapText="1"/>
    </xf>
    <xf numFmtId="164" fontId="7" fillId="13" borderId="1" xfId="0" applyNumberFormat="1" applyFont="1" applyFill="1" applyBorder="1" applyAlignment="1">
      <alignment horizontal="center" vertical="center" wrapText="1"/>
    </xf>
    <xf numFmtId="1" fontId="3" fillId="14" borderId="1" xfId="0" applyNumberFormat="1" applyFont="1" applyFill="1" applyBorder="1" applyAlignment="1">
      <alignment horizontal="center" vertical="center" wrapText="1"/>
    </xf>
    <xf numFmtId="1" fontId="11" fillId="15" borderId="3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1A"/>
      <rgbColor rgb="FF00008B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3E8FF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75623"/>
      <rgbColor rgb="FF993300"/>
      <rgbColor rgb="FF993366"/>
      <rgbColor rgb="FF4A235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topLeftCell="A14" zoomScaleNormal="100" workbookViewId="0">
      <pane xSplit="3" topLeftCell="D14" activePane="topRight" state="frozen"/>
      <selection activeCell="A35" sqref="A35"/>
      <selection pane="topRight"/>
    </sheetView>
  </sheetViews>
  <sheetFormatPr defaultColWidth="8.7421875" defaultRowHeight="15" x14ac:dyDescent="0.2"/>
  <cols>
    <col min="1" max="1" width="13.046875" customWidth="1"/>
    <col min="2" max="3" width="7.93359375" customWidth="1"/>
    <col min="4" max="8" width="6.9921875" customWidth="1"/>
    <col min="9" max="9" width="9.01171875" customWidth="1"/>
    <col min="10" max="10" width="6.9921875" customWidth="1"/>
    <col min="11" max="12" width="7.93359375" customWidth="1"/>
    <col min="13" max="14" width="9.953125" customWidth="1"/>
    <col min="15" max="15" width="11.02734375" customWidth="1"/>
    <col min="16" max="16" width="6.9921875" customWidth="1"/>
    <col min="17" max="17" width="9.953125" customWidth="1"/>
    <col min="18" max="18" width="7.93359375" customWidth="1"/>
    <col min="19" max="21" width="9.01171875" customWidth="1"/>
    <col min="22" max="23" width="7.93359375" customWidth="1"/>
    <col min="24" max="24" width="9.01171875" customWidth="1"/>
  </cols>
  <sheetData>
    <row r="1" spans="1:24" ht="21.7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24" ht="15" customHeight="1" x14ac:dyDescent="0.2">
      <c r="A3" s="6" t="s">
        <v>2</v>
      </c>
      <c r="B3" s="6"/>
      <c r="C3" s="9">
        <v>16</v>
      </c>
      <c r="D3" s="5" t="s">
        <v>3</v>
      </c>
      <c r="E3" s="5"/>
      <c r="F3" s="5"/>
      <c r="G3" s="5"/>
      <c r="H3" s="5"/>
      <c r="I3" s="5"/>
      <c r="J3" s="5"/>
    </row>
    <row r="4" spans="1:24" ht="15" customHeight="1" x14ac:dyDescent="0.2">
      <c r="A4" s="6" t="s">
        <v>4</v>
      </c>
      <c r="B4" s="6"/>
      <c r="C4" s="9">
        <v>16</v>
      </c>
      <c r="D4" s="5" t="s">
        <v>5</v>
      </c>
      <c r="E4" s="5"/>
      <c r="F4" s="5"/>
      <c r="G4" s="5"/>
      <c r="H4" s="5"/>
      <c r="I4" s="5"/>
      <c r="J4" s="5"/>
    </row>
    <row r="5" spans="1:24" ht="15" customHeight="1" x14ac:dyDescent="0.2">
      <c r="A5" s="6" t="s">
        <v>6</v>
      </c>
      <c r="B5" s="6"/>
      <c r="C5" s="9">
        <v>16</v>
      </c>
      <c r="D5" s="5" t="s">
        <v>5</v>
      </c>
      <c r="E5" s="5"/>
      <c r="F5" s="5"/>
      <c r="G5" s="5"/>
      <c r="H5" s="5"/>
      <c r="I5" s="5"/>
      <c r="J5" s="5"/>
    </row>
    <row r="6" spans="1:24" ht="15" customHeight="1" x14ac:dyDescent="0.2">
      <c r="A6" s="6" t="s">
        <v>7</v>
      </c>
      <c r="B6" s="6"/>
      <c r="C6" s="9">
        <v>2</v>
      </c>
      <c r="D6" s="5" t="s">
        <v>8</v>
      </c>
      <c r="E6" s="5"/>
      <c r="F6" s="5"/>
      <c r="G6" s="5"/>
      <c r="H6" s="5"/>
      <c r="I6" s="5"/>
      <c r="J6" s="5"/>
    </row>
    <row r="7" spans="1:24" ht="15" customHeight="1" x14ac:dyDescent="0.2">
      <c r="A7" s="6" t="s">
        <v>9</v>
      </c>
      <c r="B7" s="6"/>
      <c r="C7" s="9">
        <v>1</v>
      </c>
      <c r="D7" s="5" t="s">
        <v>10</v>
      </c>
      <c r="E7" s="5"/>
      <c r="F7" s="5"/>
      <c r="G7" s="5"/>
      <c r="H7" s="5"/>
      <c r="I7" s="5"/>
      <c r="J7" s="5"/>
    </row>
    <row r="8" spans="1:24" ht="15" customHeight="1" x14ac:dyDescent="0.2">
      <c r="A8" s="6" t="s">
        <v>11</v>
      </c>
      <c r="B8" s="6"/>
      <c r="C8" s="9">
        <v>3</v>
      </c>
      <c r="D8" s="5" t="s">
        <v>12</v>
      </c>
      <c r="E8" s="5"/>
      <c r="F8" s="5"/>
      <c r="G8" s="5"/>
      <c r="H8" s="5"/>
      <c r="I8" s="5"/>
      <c r="J8" s="5"/>
    </row>
    <row r="9" spans="1:24" ht="15" customHeight="1" x14ac:dyDescent="0.2">
      <c r="A9" s="6" t="s">
        <v>13</v>
      </c>
      <c r="B9" s="6"/>
      <c r="C9" s="9">
        <v>60</v>
      </c>
      <c r="D9" s="5" t="s">
        <v>14</v>
      </c>
      <c r="E9" s="5"/>
      <c r="F9" s="5"/>
      <c r="G9" s="5"/>
      <c r="H9" s="5"/>
      <c r="I9" s="5"/>
      <c r="J9" s="5"/>
    </row>
    <row r="10" spans="1:24" ht="15" customHeight="1" x14ac:dyDescent="0.2">
      <c r="A10" s="6" t="s">
        <v>15</v>
      </c>
      <c r="B10" s="6"/>
      <c r="C10" s="10">
        <v>150</v>
      </c>
      <c r="D10" s="5" t="s">
        <v>16</v>
      </c>
      <c r="E10" s="5"/>
      <c r="F10" s="5"/>
      <c r="G10" s="5"/>
      <c r="H10" s="5"/>
      <c r="I10" s="5"/>
      <c r="J10" s="5"/>
    </row>
    <row r="11" spans="1:24" ht="15" customHeight="1" x14ac:dyDescent="0.2">
      <c r="A11" s="6" t="s">
        <v>17</v>
      </c>
      <c r="B11" s="6"/>
      <c r="C11" s="9">
        <v>6</v>
      </c>
      <c r="D11" s="5" t="s">
        <v>18</v>
      </c>
      <c r="E11" s="5"/>
      <c r="F11" s="5"/>
      <c r="G11" s="5"/>
      <c r="H11" s="5"/>
      <c r="I11" s="5"/>
      <c r="J11" s="5"/>
    </row>
    <row r="12" spans="1:24" ht="15" customHeight="1" x14ac:dyDescent="0.2">
      <c r="A12" s="6" t="s">
        <v>19</v>
      </c>
      <c r="B12" s="6"/>
      <c r="C12" s="9">
        <v>6</v>
      </c>
      <c r="D12" s="5" t="s">
        <v>20</v>
      </c>
      <c r="E12" s="5"/>
      <c r="F12" s="5"/>
      <c r="G12" s="5"/>
      <c r="H12" s="5"/>
      <c r="I12" s="5"/>
      <c r="J12" s="5"/>
    </row>
    <row r="13" spans="1:24" ht="15" customHeight="1" x14ac:dyDescent="0.2">
      <c r="A13" s="6" t="s">
        <v>21</v>
      </c>
      <c r="B13" s="6"/>
      <c r="C13" s="9">
        <v>127</v>
      </c>
      <c r="D13" s="5" t="s">
        <v>22</v>
      </c>
      <c r="E13" s="5"/>
      <c r="F13" s="5"/>
      <c r="G13" s="5"/>
      <c r="H13" s="5"/>
      <c r="I13" s="5"/>
      <c r="J13" s="5"/>
    </row>
    <row r="14" spans="1:24" ht="15" customHeight="1" x14ac:dyDescent="0.2">
      <c r="A14" s="6" t="s">
        <v>23</v>
      </c>
      <c r="B14" s="6"/>
      <c r="C14" s="11">
        <v>2</v>
      </c>
      <c r="D14" s="5" t="s">
        <v>24</v>
      </c>
      <c r="E14" s="5"/>
      <c r="F14" s="5"/>
      <c r="G14" s="5"/>
      <c r="H14" s="5"/>
      <c r="I14" s="5"/>
      <c r="J14" s="5"/>
    </row>
    <row r="16" spans="1:24" ht="15.75" customHeight="1" x14ac:dyDescent="0.2">
      <c r="A16" s="4" t="s">
        <v>25</v>
      </c>
      <c r="B16" s="4"/>
      <c r="C16" s="4"/>
      <c r="D16" s="4"/>
      <c r="E16" s="4"/>
      <c r="F16" s="4"/>
      <c r="G16" s="4"/>
      <c r="H16" s="4"/>
      <c r="I16" s="4"/>
    </row>
    <row r="17" spans="1:10" ht="33.75" customHeight="1" x14ac:dyDescent="0.2">
      <c r="A17" s="12" t="s">
        <v>26</v>
      </c>
      <c r="B17" s="12" t="s">
        <v>27</v>
      </c>
      <c r="C17" s="12" t="s">
        <v>28</v>
      </c>
      <c r="D17" s="12" t="s">
        <v>29</v>
      </c>
      <c r="E17" s="12" t="s">
        <v>30</v>
      </c>
      <c r="F17" s="12" t="s">
        <v>31</v>
      </c>
      <c r="G17" s="12" t="s">
        <v>32</v>
      </c>
      <c r="H17" s="12" t="s">
        <v>33</v>
      </c>
    </row>
    <row r="18" spans="1:10" ht="13.5" customHeight="1" x14ac:dyDescent="0.2">
      <c r="A18" s="13" t="s">
        <v>34</v>
      </c>
      <c r="B18" s="14">
        <v>3041280</v>
      </c>
      <c r="C18" s="14">
        <v>8</v>
      </c>
      <c r="D18" s="14">
        <v>11</v>
      </c>
      <c r="E18" s="14">
        <v>15</v>
      </c>
      <c r="F18" s="14">
        <v>23</v>
      </c>
      <c r="G18" s="15">
        <v>30</v>
      </c>
      <c r="H18" s="13" t="s">
        <v>35</v>
      </c>
    </row>
    <row r="19" spans="1:10" ht="13.5" customHeight="1" x14ac:dyDescent="0.2">
      <c r="A19" s="16" t="s">
        <v>36</v>
      </c>
      <c r="B19" s="17">
        <v>6082560</v>
      </c>
      <c r="C19" s="17">
        <v>16</v>
      </c>
      <c r="D19" s="17">
        <v>21</v>
      </c>
      <c r="E19" s="17">
        <v>30</v>
      </c>
      <c r="F19" s="17">
        <v>45</v>
      </c>
      <c r="G19" s="18">
        <v>33</v>
      </c>
      <c r="H19" s="16" t="s">
        <v>37</v>
      </c>
    </row>
    <row r="20" spans="1:10" ht="13.5" customHeight="1" x14ac:dyDescent="0.2">
      <c r="A20" s="13" t="s">
        <v>38</v>
      </c>
      <c r="B20" s="14">
        <v>15667200</v>
      </c>
      <c r="C20" s="14">
        <v>39</v>
      </c>
      <c r="D20" s="14">
        <v>54</v>
      </c>
      <c r="E20" s="14">
        <v>76</v>
      </c>
      <c r="F20" s="14">
        <v>114</v>
      </c>
      <c r="G20" s="15">
        <v>60</v>
      </c>
      <c r="H20" s="13" t="s">
        <v>39</v>
      </c>
    </row>
    <row r="21" spans="1:10" ht="13.5" customHeight="1" x14ac:dyDescent="0.2">
      <c r="A21" s="16" t="s">
        <v>40</v>
      </c>
      <c r="B21" s="17">
        <v>31334400</v>
      </c>
      <c r="C21" s="17">
        <v>78</v>
      </c>
      <c r="D21" s="17">
        <v>108</v>
      </c>
      <c r="E21" s="17">
        <v>152</v>
      </c>
      <c r="F21" s="17">
        <v>227</v>
      </c>
      <c r="G21" s="18">
        <v>63</v>
      </c>
      <c r="H21" s="16" t="s">
        <v>41</v>
      </c>
    </row>
    <row r="22" spans="1:10" ht="13.5" customHeight="1" x14ac:dyDescent="0.2">
      <c r="A22" s="13" t="s">
        <v>42</v>
      </c>
      <c r="B22" s="14">
        <v>66846720</v>
      </c>
      <c r="C22" s="14">
        <v>114</v>
      </c>
      <c r="D22" s="14">
        <v>159</v>
      </c>
      <c r="E22" s="14">
        <v>222</v>
      </c>
      <c r="F22" s="14">
        <v>333</v>
      </c>
      <c r="G22" s="15">
        <v>90</v>
      </c>
      <c r="H22" s="13" t="s">
        <v>43</v>
      </c>
    </row>
    <row r="23" spans="1:10" ht="13.5" customHeight="1" x14ac:dyDescent="0.2">
      <c r="A23" s="16" t="s">
        <v>44</v>
      </c>
      <c r="B23" s="17">
        <v>133693440</v>
      </c>
      <c r="C23" s="17">
        <v>227</v>
      </c>
      <c r="D23" s="17">
        <v>317</v>
      </c>
      <c r="E23" s="17">
        <v>444</v>
      </c>
      <c r="F23" s="17">
        <v>666</v>
      </c>
      <c r="G23" s="18">
        <v>93</v>
      </c>
      <c r="H23" s="16" t="s">
        <v>45</v>
      </c>
    </row>
    <row r="24" spans="1:10" ht="13.5" customHeight="1" x14ac:dyDescent="0.2">
      <c r="A24" s="13" t="s">
        <v>46</v>
      </c>
      <c r="B24" s="14">
        <v>265420800</v>
      </c>
      <c r="C24" s="14">
        <v>455</v>
      </c>
      <c r="D24" s="14">
        <v>637</v>
      </c>
      <c r="E24" s="14">
        <v>892</v>
      </c>
      <c r="F24" s="14">
        <v>1338</v>
      </c>
      <c r="G24" s="15">
        <v>120</v>
      </c>
      <c r="H24" s="13" t="s">
        <v>47</v>
      </c>
    </row>
    <row r="25" spans="1:10" ht="13.5" customHeight="1" x14ac:dyDescent="0.2">
      <c r="A25" s="16" t="s">
        <v>48</v>
      </c>
      <c r="B25" s="17">
        <v>530841600</v>
      </c>
      <c r="C25" s="17">
        <v>910</v>
      </c>
      <c r="D25" s="17">
        <v>1274</v>
      </c>
      <c r="E25" s="17">
        <v>1784</v>
      </c>
      <c r="F25" s="17">
        <v>2675</v>
      </c>
      <c r="G25" s="18">
        <v>122</v>
      </c>
      <c r="H25" s="16" t="s">
        <v>49</v>
      </c>
    </row>
    <row r="26" spans="1:10" ht="13.5" customHeight="1" x14ac:dyDescent="0.2">
      <c r="A26" s="13" t="s">
        <v>50</v>
      </c>
      <c r="B26" s="14">
        <v>1061683200</v>
      </c>
      <c r="C26" s="14">
        <v>1820</v>
      </c>
      <c r="D26" s="14">
        <v>2548</v>
      </c>
      <c r="E26" s="14">
        <v>3567</v>
      </c>
      <c r="F26" s="14">
        <v>5350</v>
      </c>
      <c r="G26" s="15">
        <v>150</v>
      </c>
      <c r="H26" s="13" t="s">
        <v>51</v>
      </c>
    </row>
    <row r="27" spans="1:10" ht="13.5" customHeight="1" x14ac:dyDescent="0.2">
      <c r="A27" s="16" t="s">
        <v>52</v>
      </c>
      <c r="B27" s="17">
        <v>2123366400</v>
      </c>
      <c r="C27" s="17">
        <v>3639</v>
      </c>
      <c r="D27" s="17">
        <v>5095</v>
      </c>
      <c r="E27" s="17">
        <v>7133</v>
      </c>
      <c r="F27" s="17">
        <v>10699</v>
      </c>
      <c r="G27" s="18">
        <v>153</v>
      </c>
      <c r="H27" s="16" t="s">
        <v>53</v>
      </c>
    </row>
    <row r="28" spans="1:10" ht="13.5" customHeight="1" x14ac:dyDescent="0.2">
      <c r="A28" s="13" t="s">
        <v>54</v>
      </c>
      <c r="B28" s="14">
        <v>4777574400</v>
      </c>
      <c r="C28" s="14">
        <v>7278</v>
      </c>
      <c r="D28" s="14">
        <v>10189</v>
      </c>
      <c r="E28" s="14">
        <v>14265</v>
      </c>
      <c r="F28" s="14">
        <v>21397</v>
      </c>
      <c r="G28" s="15">
        <v>180</v>
      </c>
      <c r="H28" s="13" t="s">
        <v>55</v>
      </c>
    </row>
    <row r="29" spans="1:10" ht="13.5" customHeight="1" x14ac:dyDescent="0.2">
      <c r="A29" s="16" t="s">
        <v>56</v>
      </c>
      <c r="B29" s="17">
        <v>8493465600</v>
      </c>
      <c r="C29" s="17">
        <v>14556</v>
      </c>
      <c r="D29" s="17">
        <v>20378</v>
      </c>
      <c r="E29" s="17">
        <v>28529</v>
      </c>
      <c r="F29" s="17">
        <v>42793</v>
      </c>
      <c r="G29" s="18">
        <v>183</v>
      </c>
      <c r="H29" s="16" t="s">
        <v>57</v>
      </c>
    </row>
    <row r="30" spans="1:10" ht="13.5" customHeight="1" x14ac:dyDescent="0.2">
      <c r="A30" s="13" t="s">
        <v>58</v>
      </c>
      <c r="B30" s="14">
        <v>16986931200</v>
      </c>
      <c r="C30" s="14">
        <v>29111</v>
      </c>
      <c r="D30" s="14">
        <v>40756</v>
      </c>
      <c r="E30" s="14">
        <v>57058</v>
      </c>
      <c r="F30" s="14">
        <v>85586</v>
      </c>
      <c r="G30" s="15">
        <v>210</v>
      </c>
      <c r="H30" s="13" t="s">
        <v>59</v>
      </c>
    </row>
    <row r="32" spans="1:10" ht="18" customHeight="1" x14ac:dyDescent="0.2">
      <c r="A32" s="3" t="s">
        <v>60</v>
      </c>
      <c r="B32" s="3"/>
      <c r="C32" s="19">
        <v>3</v>
      </c>
      <c r="D32" s="2" t="s">
        <v>61</v>
      </c>
      <c r="E32" s="2"/>
      <c r="F32" s="2"/>
      <c r="G32" s="2"/>
      <c r="H32" s="2"/>
      <c r="I32" s="2"/>
      <c r="J32" s="2"/>
    </row>
    <row r="34" spans="1:24" ht="45.75" customHeight="1" x14ac:dyDescent="0.2">
      <c r="A34" s="20" t="s">
        <v>62</v>
      </c>
      <c r="B34" s="20" t="s">
        <v>63</v>
      </c>
      <c r="C34" s="20" t="s">
        <v>64</v>
      </c>
      <c r="D34" s="21" t="s">
        <v>65</v>
      </c>
      <c r="E34" s="21" t="s">
        <v>66</v>
      </c>
      <c r="F34" s="22" t="s">
        <v>67</v>
      </c>
      <c r="G34" s="22" t="s">
        <v>68</v>
      </c>
      <c r="H34" s="22" t="s">
        <v>69</v>
      </c>
      <c r="I34" s="22" t="s">
        <v>70</v>
      </c>
      <c r="J34" s="22" t="s">
        <v>71</v>
      </c>
      <c r="K34" s="22" t="s">
        <v>72</v>
      </c>
      <c r="L34" s="22" t="s">
        <v>73</v>
      </c>
      <c r="M34" s="22" t="s">
        <v>74</v>
      </c>
      <c r="N34" s="22" t="s">
        <v>75</v>
      </c>
      <c r="O34" s="22" t="s">
        <v>76</v>
      </c>
      <c r="P34" s="12" t="s">
        <v>77</v>
      </c>
      <c r="Q34" s="12" t="s">
        <v>78</v>
      </c>
      <c r="R34" s="23" t="s">
        <v>79</v>
      </c>
      <c r="S34" s="23" t="s">
        <v>80</v>
      </c>
      <c r="T34" s="23" t="s">
        <v>81</v>
      </c>
      <c r="U34" s="23" t="s">
        <v>82</v>
      </c>
      <c r="V34" s="24" t="s">
        <v>83</v>
      </c>
      <c r="W34" s="24" t="s">
        <v>84</v>
      </c>
      <c r="X34" s="24" t="s">
        <v>85</v>
      </c>
    </row>
    <row r="35" spans="1:24" ht="15.75" customHeight="1" x14ac:dyDescent="0.2">
      <c r="A35" s="25" t="s">
        <v>86</v>
      </c>
      <c r="B35" s="9">
        <v>1280</v>
      </c>
      <c r="C35" s="9">
        <v>720</v>
      </c>
      <c r="D35" s="26">
        <f>$C$3*$C$4</f>
        <v>256</v>
      </c>
      <c r="E35" s="26">
        <f>$C$3*$C$5</f>
        <v>256</v>
      </c>
      <c r="F35" s="26">
        <f>CEILING(B35/D35,1)</f>
        <v>5</v>
      </c>
      <c r="G35" s="26">
        <f>CEILING(C35/E35,1)</f>
        <v>3</v>
      </c>
      <c r="H35" s="27">
        <f>F35*G35</f>
        <v>15</v>
      </c>
      <c r="I35" s="26">
        <f>CEILING((B35/$C$6)/D35,1)*CEILING((C35/$C$7)/E35,1)</f>
        <v>9</v>
      </c>
      <c r="J35" s="27">
        <f>H35+$C$8*I35</f>
        <v>42</v>
      </c>
      <c r="K35" s="26">
        <f>(D35/8)*(E35/8)</f>
        <v>1024</v>
      </c>
      <c r="L35" s="26">
        <f>(D35/$C$6/8)*(E35/$C$7/8)</f>
        <v>512</v>
      </c>
      <c r="M35" s="28">
        <f>H35*K35+$C$8*I35*L35</f>
        <v>29184</v>
      </c>
      <c r="N35" s="29">
        <f>B35*C35</f>
        <v>921600</v>
      </c>
      <c r="O35" s="29">
        <f>N35*$C$9</f>
        <v>55296000</v>
      </c>
      <c r="P35" s="30" t="str">
        <f>IFERROR(INDEX($A$18:$A$30,MATCH(1,($B$18:$B$30&gt;=O35)*1,0)),"&gt;")</f>
        <v>&gt;</v>
      </c>
      <c r="Q35" s="31">
        <f>IFERROR(INDEX(CHOOSE($C$32+1,$C$18:$C$30,$D$18:$D$30,$E$18:$E$30,$F$18:$F$30),MATCH(1,($B$18:$B$30&gt;=O35)*1,0)),0)</f>
        <v>0</v>
      </c>
      <c r="R35" s="32">
        <f>IFERROR(Q35*1000000/($C$9*M35),0)</f>
        <v>0</v>
      </c>
      <c r="S35" s="32">
        <f>IFERROR((R35-$C$12)/$C$11,0)</f>
        <v>-1</v>
      </c>
      <c r="T35" s="26">
        <f>$C$13</f>
        <v>127</v>
      </c>
      <c r="U35" s="32">
        <f>S35*$C$14</f>
        <v>-2</v>
      </c>
      <c r="V35" s="33">
        <f>IFERROR(CEILING(S35*M35*$C$9/$C$10*1000000,1),0)</f>
        <v>-11673600000</v>
      </c>
      <c r="W35" s="33">
        <f>IFERROR(CEILING($C$13*M35*$C$9/$C$10*1000000,1),0)</f>
        <v>1482547200000</v>
      </c>
      <c r="X35" s="34">
        <f>IFERROR(CEILING(U35*M35*$C$9/$C$10*1000000,1),0)</f>
        <v>-23347200000</v>
      </c>
    </row>
    <row r="36" spans="1:24" ht="15.75" customHeight="1" x14ac:dyDescent="0.2">
      <c r="A36" s="35" t="s">
        <v>87</v>
      </c>
      <c r="B36" s="9">
        <v>1920</v>
      </c>
      <c r="C36" s="9">
        <v>1080</v>
      </c>
      <c r="D36" s="18">
        <f>$C$3*$C$4</f>
        <v>256</v>
      </c>
      <c r="E36" s="18">
        <f>$C$3*$C$5</f>
        <v>256</v>
      </c>
      <c r="F36" s="18">
        <f>CEILING(B36/D36,1)</f>
        <v>8</v>
      </c>
      <c r="G36" s="18">
        <f>CEILING(C36/E36,1)</f>
        <v>5</v>
      </c>
      <c r="H36" s="36">
        <f>F36*G36</f>
        <v>40</v>
      </c>
      <c r="I36" s="18">
        <f>CEILING((B36/$C$6)/D36,1)*CEILING((C36/$C$7)/E36,1)</f>
        <v>20</v>
      </c>
      <c r="J36" s="36">
        <f>H36+$C$8*I36</f>
        <v>100</v>
      </c>
      <c r="K36" s="18">
        <f>(D36/8)*(E36/8)</f>
        <v>1024</v>
      </c>
      <c r="L36" s="18">
        <f>(D36/$C$6/8)*(E36/$C$7/8)</f>
        <v>512</v>
      </c>
      <c r="M36" s="37">
        <f>H36*K36+$C$8*I36*L36</f>
        <v>71680</v>
      </c>
      <c r="N36" s="17">
        <f>B36*C36</f>
        <v>2073600</v>
      </c>
      <c r="O36" s="17">
        <f>N36*$C$9</f>
        <v>124416000</v>
      </c>
      <c r="P36" s="30" t="str">
        <f>IFERROR(INDEX($A$18:$A$30,MATCH(1,($B$18:$B$30&gt;=O36)*1,0)),"&gt;")</f>
        <v>&gt;</v>
      </c>
      <c r="Q36" s="31">
        <f>IFERROR(INDEX(CHOOSE($C$32+1,$C$18:$C$30,$D$18:$D$30,$E$18:$E$30,$F$18:$F$30),MATCH(1,($B$18:$B$30&gt;=O36)*1,0)),0)</f>
        <v>0</v>
      </c>
      <c r="R36" s="38">
        <f>IFERROR(Q36*1000000/($C$9*M36),0)</f>
        <v>0</v>
      </c>
      <c r="S36" s="38">
        <f>IFERROR((R36-$C$12)/$C$11,0)</f>
        <v>-1</v>
      </c>
      <c r="T36" s="18">
        <f>$C$13</f>
        <v>127</v>
      </c>
      <c r="U36" s="38">
        <f>S36*$C$14</f>
        <v>-2</v>
      </c>
      <c r="V36" s="33">
        <f>IFERROR(CEILING(S36*M36*$C$9/$C$10*1000000,1),0)</f>
        <v>-28672000000</v>
      </c>
      <c r="W36" s="33">
        <f>IFERROR(CEILING($C$13*M36*$C$9/$C$10*1000000,1),0)</f>
        <v>3641344000000</v>
      </c>
      <c r="X36" s="34">
        <f>IFERROR(CEILING(U36*M36*$C$9/$C$10*1000000,1),0)</f>
        <v>-57344000000</v>
      </c>
    </row>
    <row r="37" spans="1:24" ht="15.75" customHeight="1" x14ac:dyDescent="0.2">
      <c r="A37" s="25" t="s">
        <v>88</v>
      </c>
      <c r="B37" s="9">
        <v>2048</v>
      </c>
      <c r="C37" s="9">
        <v>1080</v>
      </c>
      <c r="D37" s="26">
        <f>$C$3*$C$4</f>
        <v>256</v>
      </c>
      <c r="E37" s="26">
        <f>$C$3*$C$5</f>
        <v>256</v>
      </c>
      <c r="F37" s="26">
        <f>CEILING(B37/D37,1)</f>
        <v>8</v>
      </c>
      <c r="G37" s="26">
        <f>CEILING(C37/E37,1)</f>
        <v>5</v>
      </c>
      <c r="H37" s="27">
        <f>F37*G37</f>
        <v>40</v>
      </c>
      <c r="I37" s="26">
        <f>CEILING((B37/$C$6)/D37,1)*CEILING((C37/$C$7)/E37,1)</f>
        <v>20</v>
      </c>
      <c r="J37" s="27">
        <f>H37+$C$8*I37</f>
        <v>100</v>
      </c>
      <c r="K37" s="26">
        <f>(D37/8)*(E37/8)</f>
        <v>1024</v>
      </c>
      <c r="L37" s="26">
        <f>(D37/$C$6/8)*(E37/$C$7/8)</f>
        <v>512</v>
      </c>
      <c r="M37" s="28">
        <f>H37*K37+$C$8*I37*L37</f>
        <v>71680</v>
      </c>
      <c r="N37" s="29">
        <f>B37*C37</f>
        <v>2211840</v>
      </c>
      <c r="O37" s="29">
        <f>N37*$C$9</f>
        <v>132710400</v>
      </c>
      <c r="P37" s="30" t="str">
        <f>IFERROR(INDEX($A$18:$A$30,MATCH(1,($B$18:$B$30&gt;=O37)*1,0)),"&gt;")</f>
        <v>&gt;</v>
      </c>
      <c r="Q37" s="31">
        <f>IFERROR(INDEX(CHOOSE($C$32+1,$C$18:$C$30,$D$18:$D$30,$E$18:$E$30,$F$18:$F$30),MATCH(1,($B$18:$B$30&gt;=O37)*1,0)),0)</f>
        <v>0</v>
      </c>
      <c r="R37" s="32">
        <f>IFERROR(Q37*1000000/($C$9*M37),0)</f>
        <v>0</v>
      </c>
      <c r="S37" s="32">
        <f>IFERROR((R37-$C$12)/$C$11,0)</f>
        <v>-1</v>
      </c>
      <c r="T37" s="26">
        <f>$C$13</f>
        <v>127</v>
      </c>
      <c r="U37" s="32">
        <f>S37*$C$14</f>
        <v>-2</v>
      </c>
      <c r="V37" s="33">
        <f>IFERROR(CEILING(S37*M37*$C$9/$C$10*1000000,1),0)</f>
        <v>-28672000000</v>
      </c>
      <c r="W37" s="33">
        <f>IFERROR(CEILING($C$13*M37*$C$9/$C$10*1000000,1),0)</f>
        <v>3641344000000</v>
      </c>
      <c r="X37" s="34">
        <f>IFERROR(CEILING(U37*M37*$C$9/$C$10*1000000,1),0)</f>
        <v>-57344000000</v>
      </c>
    </row>
    <row r="38" spans="1:24" ht="15.75" customHeight="1" x14ac:dyDescent="0.2">
      <c r="A38" s="35" t="s">
        <v>89</v>
      </c>
      <c r="B38" s="9">
        <v>3840</v>
      </c>
      <c r="C38" s="9">
        <v>2160</v>
      </c>
      <c r="D38" s="18">
        <f>$C$3*$C$4</f>
        <v>256</v>
      </c>
      <c r="E38" s="18">
        <f>$C$3*$C$5</f>
        <v>256</v>
      </c>
      <c r="F38" s="18">
        <f>CEILING(B38/D38,1)</f>
        <v>15</v>
      </c>
      <c r="G38" s="18">
        <f>CEILING(C38/E38,1)</f>
        <v>9</v>
      </c>
      <c r="H38" s="36">
        <f>F38*G38</f>
        <v>135</v>
      </c>
      <c r="I38" s="18">
        <f>CEILING((B38/$C$6)/D38,1)*CEILING((C38/$C$7)/E38,1)</f>
        <v>72</v>
      </c>
      <c r="J38" s="36">
        <f>H38+$C$8*I38</f>
        <v>351</v>
      </c>
      <c r="K38" s="18">
        <f>(D38/8)*(E38/8)</f>
        <v>1024</v>
      </c>
      <c r="L38" s="18">
        <f>(D38/$C$6/8)*(E38/$C$7/8)</f>
        <v>512</v>
      </c>
      <c r="M38" s="37">
        <f>H38*K38+$C$8*I38*L38</f>
        <v>248832</v>
      </c>
      <c r="N38" s="17">
        <f>B38*C38</f>
        <v>8294400</v>
      </c>
      <c r="O38" s="17">
        <f>N38*$C$9</f>
        <v>497664000</v>
      </c>
      <c r="P38" s="30" t="str">
        <f>IFERROR(INDEX($A$18:$A$30,MATCH(1,($B$18:$B$30&gt;=O38)*1,0)),"&gt;")</f>
        <v>&gt;</v>
      </c>
      <c r="Q38" s="31">
        <f>IFERROR(INDEX(CHOOSE($C$32+1,$C$18:$C$30,$D$18:$D$30,$E$18:$E$30,$F$18:$F$30),MATCH(1,($B$18:$B$30&gt;=O38)*1,0)),0)</f>
        <v>0</v>
      </c>
      <c r="R38" s="38">
        <f>IFERROR(Q38*1000000/($C$9*M38),0)</f>
        <v>0</v>
      </c>
      <c r="S38" s="38">
        <f>IFERROR((R38-$C$12)/$C$11,0)</f>
        <v>-1</v>
      </c>
      <c r="T38" s="18">
        <f>$C$13</f>
        <v>127</v>
      </c>
      <c r="U38" s="38">
        <f>S38*$C$14</f>
        <v>-2</v>
      </c>
      <c r="V38" s="33">
        <f>IFERROR(CEILING(S38*M38*$C$9/$C$10*1000000,1),0)</f>
        <v>-99532800000</v>
      </c>
      <c r="W38" s="33">
        <f>IFERROR(CEILING($C$13*M38*$C$9/$C$10*1000000,1),0)</f>
        <v>12640665600000</v>
      </c>
      <c r="X38" s="34">
        <f>IFERROR(CEILING(U38*M38*$C$9/$C$10*1000000,1),0)</f>
        <v>-199065600000</v>
      </c>
    </row>
    <row r="39" spans="1:24" ht="15.75" customHeight="1" x14ac:dyDescent="0.2">
      <c r="A39" s="25" t="s">
        <v>90</v>
      </c>
      <c r="B39" s="9">
        <v>4096</v>
      </c>
      <c r="C39" s="9">
        <v>2160</v>
      </c>
      <c r="D39" s="26">
        <f>$C$3*$C$4</f>
        <v>256</v>
      </c>
      <c r="E39" s="26">
        <f>$C$3*$C$5</f>
        <v>256</v>
      </c>
      <c r="F39" s="26">
        <f>CEILING(B39/D39,1)</f>
        <v>16</v>
      </c>
      <c r="G39" s="26">
        <f>CEILING(C39/E39,1)</f>
        <v>9</v>
      </c>
      <c r="H39" s="27">
        <f>F39*G39</f>
        <v>144</v>
      </c>
      <c r="I39" s="26">
        <f>CEILING((B39/$C$6)/D39,1)*CEILING((C39/$C$7)/E39,1)</f>
        <v>72</v>
      </c>
      <c r="J39" s="27">
        <f>H39+$C$8*I39</f>
        <v>360</v>
      </c>
      <c r="K39" s="26">
        <f>(D39/8)*(E39/8)</f>
        <v>1024</v>
      </c>
      <c r="L39" s="26">
        <f>(D39/$C$6/8)*(E39/$C$7/8)</f>
        <v>512</v>
      </c>
      <c r="M39" s="28">
        <f>H39*K39+$C$8*I39*L39</f>
        <v>258048</v>
      </c>
      <c r="N39" s="29">
        <f>B39*C39</f>
        <v>8847360</v>
      </c>
      <c r="O39" s="29">
        <f>N39*$C$9</f>
        <v>530841600</v>
      </c>
      <c r="P39" s="30" t="str">
        <f>IFERROR(INDEX($A$18:$A$30,MATCH(1,($B$18:$B$30&gt;=O39)*1,0)),"&gt;")</f>
        <v>&gt;</v>
      </c>
      <c r="Q39" s="31">
        <f>IFERROR(INDEX(CHOOSE($C$32+1,$C$18:$C$30,$D$18:$D$30,$E$18:$E$30,$F$18:$F$30),MATCH(1,($B$18:$B$30&gt;=O39)*1,0)),0)</f>
        <v>0</v>
      </c>
      <c r="R39" s="32">
        <f>IFERROR(Q39*1000000/($C$9*M39),0)</f>
        <v>0</v>
      </c>
      <c r="S39" s="32">
        <f>IFERROR((R39-$C$12)/$C$11,0)</f>
        <v>-1</v>
      </c>
      <c r="T39" s="26">
        <f>$C$13</f>
        <v>127</v>
      </c>
      <c r="U39" s="32">
        <f>S39*$C$14</f>
        <v>-2</v>
      </c>
      <c r="V39" s="33">
        <f>IFERROR(CEILING(S39*M39*$C$9/$C$10*1000000,1),0)</f>
        <v>-103219200000</v>
      </c>
      <c r="W39" s="33">
        <f>IFERROR(CEILING($C$13*M39*$C$9/$C$10*1000000,1),0)</f>
        <v>13108838400000</v>
      </c>
      <c r="X39" s="34">
        <f>IFERROR(CEILING(U39*M39*$C$9/$C$10*1000000,1),0)</f>
        <v>-206438400000</v>
      </c>
    </row>
    <row r="40" spans="1:24" ht="15.75" customHeight="1" x14ac:dyDescent="0.2">
      <c r="A40" s="35" t="s">
        <v>91</v>
      </c>
      <c r="B40" s="9">
        <v>7680</v>
      </c>
      <c r="C40" s="9">
        <v>4320</v>
      </c>
      <c r="D40" s="18">
        <f>$C$3*$C$4</f>
        <v>256</v>
      </c>
      <c r="E40" s="18">
        <f>$C$3*$C$5</f>
        <v>256</v>
      </c>
      <c r="F40" s="18">
        <f>CEILING(B40/D40,1)</f>
        <v>30</v>
      </c>
      <c r="G40" s="18">
        <f>CEILING(C40/E40,1)</f>
        <v>17</v>
      </c>
      <c r="H40" s="36">
        <f>F40*G40</f>
        <v>510</v>
      </c>
      <c r="I40" s="18">
        <f>CEILING((B40/$C$6)/D40,1)*CEILING((C40/$C$7)/E40,1)</f>
        <v>255</v>
      </c>
      <c r="J40" s="36">
        <f>H40+$C$8*I40</f>
        <v>1275</v>
      </c>
      <c r="K40" s="18">
        <f>(D40/8)*(E40/8)</f>
        <v>1024</v>
      </c>
      <c r="L40" s="18">
        <f>(D40/$C$6/8)*(E40/$C$7/8)</f>
        <v>512</v>
      </c>
      <c r="M40" s="37">
        <f>H40*K40+$C$8*I40*L40</f>
        <v>913920</v>
      </c>
      <c r="N40" s="17">
        <f>B40*C40</f>
        <v>33177600</v>
      </c>
      <c r="O40" s="17">
        <f>N40*$C$9</f>
        <v>1990656000</v>
      </c>
      <c r="P40" s="30" t="str">
        <f>IFERROR(INDEX($A$18:$A$30,MATCH(1,($B$18:$B$30&gt;=O40)*1,0)),"&gt;")</f>
        <v>&gt;</v>
      </c>
      <c r="Q40" s="31">
        <f>IFERROR(INDEX(CHOOSE($C$32+1,$C$18:$C$30,$D$18:$D$30,$E$18:$E$30,$F$18:$F$30),MATCH(1,($B$18:$B$30&gt;=O40)*1,0)),0)</f>
        <v>0</v>
      </c>
      <c r="R40" s="38">
        <f>IFERROR(Q40*1000000/($C$9*M40),0)</f>
        <v>0</v>
      </c>
      <c r="S40" s="38">
        <f>IFERROR((R40-$C$12)/$C$11,0)</f>
        <v>-1</v>
      </c>
      <c r="T40" s="18">
        <f>$C$13</f>
        <v>127</v>
      </c>
      <c r="U40" s="38">
        <f>S40*$C$14</f>
        <v>-2</v>
      </c>
      <c r="V40" s="33">
        <f>IFERROR(CEILING(S40*M40*$C$9/$C$10*1000000,1),0)</f>
        <v>-365568000000</v>
      </c>
      <c r="W40" s="33">
        <f>IFERROR(CEILING($C$13*M40*$C$9/$C$10*1000000,1),0)</f>
        <v>46427136000000</v>
      </c>
      <c r="X40" s="34">
        <f>IFERROR(CEILING(U40*M40*$C$9/$C$10*1000000,1),0)</f>
        <v>-731136000000</v>
      </c>
    </row>
    <row r="41" spans="1:24" ht="15.75" customHeight="1" x14ac:dyDescent="0.2">
      <c r="A41" s="25" t="s">
        <v>92</v>
      </c>
      <c r="B41" s="9">
        <v>8192</v>
      </c>
      <c r="C41" s="9">
        <v>4320</v>
      </c>
      <c r="D41" s="26">
        <f>$C$3*$C$4</f>
        <v>256</v>
      </c>
      <c r="E41" s="26">
        <f>$C$3*$C$5</f>
        <v>256</v>
      </c>
      <c r="F41" s="26">
        <f>CEILING(B41/D41,1)</f>
        <v>32</v>
      </c>
      <c r="G41" s="26">
        <f>CEILING(C41/E41,1)</f>
        <v>17</v>
      </c>
      <c r="H41" s="27">
        <f>F41*G41</f>
        <v>544</v>
      </c>
      <c r="I41" s="26">
        <f>CEILING((B41/$C$6)/D41,1)*CEILING((C41/$C$7)/E41,1)</f>
        <v>272</v>
      </c>
      <c r="J41" s="27">
        <f>H41+$C$8*I41</f>
        <v>1360</v>
      </c>
      <c r="K41" s="26">
        <f>(D41/8)*(E41/8)</f>
        <v>1024</v>
      </c>
      <c r="L41" s="26">
        <f>(D41/$C$6/8)*(E41/$C$7/8)</f>
        <v>512</v>
      </c>
      <c r="M41" s="28">
        <f>H41*K41+$C$8*I41*L41</f>
        <v>974848</v>
      </c>
      <c r="N41" s="29">
        <f>B41*C41</f>
        <v>35389440</v>
      </c>
      <c r="O41" s="29">
        <f>N41*$C$9</f>
        <v>2123366400</v>
      </c>
      <c r="P41" s="30" t="str">
        <f>IFERROR(INDEX($A$18:$A$30,MATCH(1,($B$18:$B$30&gt;=O41)*1,0)),"&gt;")</f>
        <v>&gt;</v>
      </c>
      <c r="Q41" s="31">
        <f>IFERROR(INDEX(CHOOSE($C$32+1,$C$18:$C$30,$D$18:$D$30,$E$18:$E$30,$F$18:$F$30),MATCH(1,($B$18:$B$30&gt;=O41)*1,0)),0)</f>
        <v>0</v>
      </c>
      <c r="R41" s="32">
        <f>IFERROR(Q41*1000000/($C$9*M41),0)</f>
        <v>0</v>
      </c>
      <c r="S41" s="32">
        <f>IFERROR((R41-$C$12)/$C$11,0)</f>
        <v>-1</v>
      </c>
      <c r="T41" s="26">
        <f>$C$13</f>
        <v>127</v>
      </c>
      <c r="U41" s="32">
        <f>S41*$C$14</f>
        <v>-2</v>
      </c>
      <c r="V41" s="33">
        <f>IFERROR(CEILING(S41*M41*$C$9/$C$10*1000000,1),0)</f>
        <v>-389939200000</v>
      </c>
      <c r="W41" s="33">
        <f>IFERROR(CEILING($C$13*M41*$C$9/$C$10*1000000,1),0)</f>
        <v>49522278400000</v>
      </c>
      <c r="X41" s="34">
        <f>IFERROR(CEILING(U41*M41*$C$9/$C$10*1000000,1),0)</f>
        <v>-779878400000</v>
      </c>
    </row>
    <row r="44" spans="1:24" ht="13.5" customHeight="1" x14ac:dyDescent="0.2">
      <c r="A44" s="1" t="s">
        <v>93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</sheetData>
  <mergeCells count="30">
    <mergeCell ref="A44:X44"/>
    <mergeCell ref="A14:B14"/>
    <mergeCell ref="D14:J14"/>
    <mergeCell ref="A16:I16"/>
    <mergeCell ref="A32:B32"/>
    <mergeCell ref="D32:J32"/>
    <mergeCell ref="A11:B11"/>
    <mergeCell ref="D11:J11"/>
    <mergeCell ref="A12:B12"/>
    <mergeCell ref="D12:J12"/>
    <mergeCell ref="A13:B13"/>
    <mergeCell ref="D13:J13"/>
    <mergeCell ref="A8:B8"/>
    <mergeCell ref="D8:J8"/>
    <mergeCell ref="A9:B9"/>
    <mergeCell ref="D9:J9"/>
    <mergeCell ref="A10:B10"/>
    <mergeCell ref="D10:J10"/>
    <mergeCell ref="A5:B5"/>
    <mergeCell ref="D5:J5"/>
    <mergeCell ref="A6:B6"/>
    <mergeCell ref="D6:J6"/>
    <mergeCell ref="A7:B7"/>
    <mergeCell ref="D7:J7"/>
    <mergeCell ref="A1:X1"/>
    <mergeCell ref="A2:J2"/>
    <mergeCell ref="A3:B3"/>
    <mergeCell ref="D3:J3"/>
    <mergeCell ref="A4:B4"/>
    <mergeCell ref="D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"/>
  <sheetViews>
    <sheetView zoomScaleNormal="100" workbookViewId="0">
      <pane xSplit="3" ySplit="34" topLeftCell="D35" activePane="bottomRight" state="frozen"/>
      <selection pane="bottomLeft" activeCell="A35" sqref="A35"/>
      <selection pane="topRight" activeCell="D1" sqref="D1"/>
      <selection pane="bottomRight"/>
    </sheetView>
  </sheetViews>
  <sheetFormatPr defaultColWidth="8.7421875" defaultRowHeight="15" x14ac:dyDescent="0.2"/>
  <cols>
    <col min="1" max="1" width="13.046875" customWidth="1"/>
    <col min="2" max="3" width="7.93359375" customWidth="1"/>
    <col min="4" max="8" width="6.9921875" customWidth="1"/>
    <col min="9" max="9" width="9.01171875" customWidth="1"/>
    <col min="10" max="10" width="6.9921875" customWidth="1"/>
    <col min="11" max="12" width="7.93359375" customWidth="1"/>
    <col min="13" max="14" width="9.953125" customWidth="1"/>
    <col min="15" max="15" width="11.02734375" customWidth="1"/>
    <col min="16" max="16" width="6.9921875" customWidth="1"/>
    <col min="17" max="17" width="9.953125" customWidth="1"/>
    <col min="18" max="18" width="7.93359375" customWidth="1"/>
    <col min="19" max="21" width="9.01171875" customWidth="1"/>
    <col min="22" max="23" width="7.93359375" customWidth="1"/>
    <col min="24" max="24" width="9.01171875" customWidth="1"/>
  </cols>
  <sheetData>
    <row r="1" spans="1:24" ht="21.75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24" ht="15" customHeight="1" x14ac:dyDescent="0.2">
      <c r="A3" s="6" t="s">
        <v>2</v>
      </c>
      <c r="B3" s="6"/>
      <c r="C3" s="9">
        <v>16</v>
      </c>
      <c r="D3" s="5" t="s">
        <v>3</v>
      </c>
      <c r="E3" s="5"/>
      <c r="F3" s="5"/>
      <c r="G3" s="5"/>
      <c r="H3" s="5"/>
      <c r="I3" s="5"/>
      <c r="J3" s="5"/>
    </row>
    <row r="4" spans="1:24" ht="15" customHeight="1" x14ac:dyDescent="0.2">
      <c r="A4" s="6" t="s">
        <v>4</v>
      </c>
      <c r="B4" s="6"/>
      <c r="C4" s="9">
        <v>16</v>
      </c>
      <c r="D4" s="5" t="s">
        <v>5</v>
      </c>
      <c r="E4" s="5"/>
      <c r="F4" s="5"/>
      <c r="G4" s="5"/>
      <c r="H4" s="5"/>
      <c r="I4" s="5"/>
      <c r="J4" s="5"/>
    </row>
    <row r="5" spans="1:24" ht="15" customHeight="1" x14ac:dyDescent="0.2">
      <c r="A5" s="6" t="s">
        <v>6</v>
      </c>
      <c r="B5" s="6"/>
      <c r="C5" s="9">
        <v>16</v>
      </c>
      <c r="D5" s="5" t="s">
        <v>5</v>
      </c>
      <c r="E5" s="5"/>
      <c r="F5" s="5"/>
      <c r="G5" s="5"/>
      <c r="H5" s="5"/>
      <c r="I5" s="5"/>
      <c r="J5" s="5"/>
    </row>
    <row r="6" spans="1:24" ht="15" customHeight="1" x14ac:dyDescent="0.2">
      <c r="A6" s="6" t="s">
        <v>95</v>
      </c>
      <c r="B6" s="6"/>
      <c r="C6" s="9">
        <v>1</v>
      </c>
      <c r="D6" s="5" t="s">
        <v>8</v>
      </c>
      <c r="E6" s="5"/>
      <c r="F6" s="5"/>
      <c r="G6" s="5"/>
      <c r="H6" s="5"/>
      <c r="I6" s="5"/>
      <c r="J6" s="5"/>
    </row>
    <row r="7" spans="1:24" ht="15" customHeight="1" x14ac:dyDescent="0.2">
      <c r="A7" s="6" t="s">
        <v>96</v>
      </c>
      <c r="B7" s="6"/>
      <c r="C7" s="9">
        <v>1</v>
      </c>
      <c r="D7" s="5" t="s">
        <v>10</v>
      </c>
      <c r="E7" s="5"/>
      <c r="F7" s="5"/>
      <c r="G7" s="5"/>
      <c r="H7" s="5"/>
      <c r="I7" s="5"/>
      <c r="J7" s="5"/>
    </row>
    <row r="8" spans="1:24" ht="15" customHeight="1" x14ac:dyDescent="0.2">
      <c r="A8" s="6" t="s">
        <v>97</v>
      </c>
      <c r="B8" s="6"/>
      <c r="C8" s="9">
        <v>3</v>
      </c>
      <c r="D8" s="5" t="s">
        <v>12</v>
      </c>
      <c r="E8" s="5"/>
      <c r="F8" s="5"/>
      <c r="G8" s="5"/>
      <c r="H8" s="5"/>
      <c r="I8" s="5"/>
      <c r="J8" s="5"/>
    </row>
    <row r="9" spans="1:24" ht="15" customHeight="1" x14ac:dyDescent="0.2">
      <c r="A9" s="6" t="s">
        <v>13</v>
      </c>
      <c r="B9" s="6"/>
      <c r="C9" s="9">
        <v>60</v>
      </c>
      <c r="D9" s="5" t="s">
        <v>14</v>
      </c>
      <c r="E9" s="5"/>
      <c r="F9" s="5"/>
      <c r="G9" s="5"/>
      <c r="H9" s="5"/>
      <c r="I9" s="5"/>
      <c r="J9" s="5"/>
    </row>
    <row r="10" spans="1:24" ht="15" customHeight="1" x14ac:dyDescent="0.2">
      <c r="A10" s="6" t="s">
        <v>15</v>
      </c>
      <c r="B10" s="6"/>
      <c r="C10" s="10">
        <v>150</v>
      </c>
      <c r="D10" s="5" t="s">
        <v>16</v>
      </c>
      <c r="E10" s="5"/>
      <c r="F10" s="5"/>
      <c r="G10" s="5"/>
      <c r="H10" s="5"/>
      <c r="I10" s="5"/>
      <c r="J10" s="5"/>
    </row>
    <row r="11" spans="1:24" ht="15" customHeight="1" x14ac:dyDescent="0.2">
      <c r="A11" s="6" t="s">
        <v>17</v>
      </c>
      <c r="B11" s="6"/>
      <c r="C11" s="9">
        <v>6</v>
      </c>
      <c r="D11" s="5" t="s">
        <v>18</v>
      </c>
      <c r="E11" s="5"/>
      <c r="F11" s="5"/>
      <c r="G11" s="5"/>
      <c r="H11" s="5"/>
      <c r="I11" s="5"/>
      <c r="J11" s="5"/>
    </row>
    <row r="12" spans="1:24" ht="15" customHeight="1" x14ac:dyDescent="0.2">
      <c r="A12" s="6" t="s">
        <v>19</v>
      </c>
      <c r="B12" s="6"/>
      <c r="C12" s="9">
        <v>6</v>
      </c>
      <c r="D12" s="5" t="s">
        <v>20</v>
      </c>
      <c r="E12" s="5"/>
      <c r="F12" s="5"/>
      <c r="G12" s="5"/>
      <c r="H12" s="5"/>
      <c r="I12" s="5"/>
      <c r="J12" s="5"/>
    </row>
    <row r="13" spans="1:24" ht="15" customHeight="1" x14ac:dyDescent="0.2">
      <c r="A13" s="6" t="s">
        <v>21</v>
      </c>
      <c r="B13" s="6"/>
      <c r="C13" s="9">
        <v>127</v>
      </c>
      <c r="D13" s="5" t="s">
        <v>22</v>
      </c>
      <c r="E13" s="5"/>
      <c r="F13" s="5"/>
      <c r="G13" s="5"/>
      <c r="H13" s="5"/>
      <c r="I13" s="5"/>
      <c r="J13" s="5"/>
    </row>
    <row r="14" spans="1:24" ht="15" customHeight="1" x14ac:dyDescent="0.2">
      <c r="A14" s="6" t="s">
        <v>23</v>
      </c>
      <c r="B14" s="6"/>
      <c r="C14" s="11">
        <v>2</v>
      </c>
      <c r="D14" s="5" t="s">
        <v>24</v>
      </c>
      <c r="E14" s="5"/>
      <c r="F14" s="5"/>
      <c r="G14" s="5"/>
      <c r="H14" s="5"/>
      <c r="I14" s="5"/>
      <c r="J14" s="5"/>
    </row>
    <row r="16" spans="1:24" ht="15.75" customHeight="1" x14ac:dyDescent="0.2">
      <c r="A16" s="4" t="s">
        <v>25</v>
      </c>
      <c r="B16" s="4"/>
      <c r="C16" s="4"/>
      <c r="D16" s="4"/>
      <c r="E16" s="4"/>
      <c r="F16" s="4"/>
      <c r="G16" s="4"/>
      <c r="H16" s="4"/>
      <c r="I16" s="4"/>
    </row>
    <row r="17" spans="1:10" ht="33.75" customHeight="1" x14ac:dyDescent="0.2">
      <c r="A17" s="12" t="s">
        <v>26</v>
      </c>
      <c r="B17" s="12" t="s">
        <v>27</v>
      </c>
      <c r="C17" s="12" t="s">
        <v>28</v>
      </c>
      <c r="D17" s="12" t="s">
        <v>29</v>
      </c>
      <c r="E17" s="12" t="s">
        <v>30</v>
      </c>
      <c r="F17" s="12" t="s">
        <v>31</v>
      </c>
      <c r="G17" s="12" t="s">
        <v>32</v>
      </c>
      <c r="H17" s="12" t="s">
        <v>33</v>
      </c>
    </row>
    <row r="18" spans="1:10" ht="13.5" customHeight="1" x14ac:dyDescent="0.2">
      <c r="A18" s="13" t="s">
        <v>34</v>
      </c>
      <c r="B18" s="14">
        <v>3041280</v>
      </c>
      <c r="C18" s="14">
        <v>8</v>
      </c>
      <c r="D18" s="14">
        <v>11</v>
      </c>
      <c r="E18" s="14">
        <v>15</v>
      </c>
      <c r="F18" s="14">
        <v>23</v>
      </c>
      <c r="G18" s="15">
        <v>30</v>
      </c>
      <c r="H18" s="13" t="s">
        <v>35</v>
      </c>
    </row>
    <row r="19" spans="1:10" ht="13.5" customHeight="1" x14ac:dyDescent="0.2">
      <c r="A19" s="16" t="s">
        <v>36</v>
      </c>
      <c r="B19" s="17">
        <v>6082560</v>
      </c>
      <c r="C19" s="17">
        <v>16</v>
      </c>
      <c r="D19" s="17">
        <v>21</v>
      </c>
      <c r="E19" s="17">
        <v>30</v>
      </c>
      <c r="F19" s="17">
        <v>45</v>
      </c>
      <c r="G19" s="18">
        <v>33</v>
      </c>
      <c r="H19" s="16" t="s">
        <v>37</v>
      </c>
    </row>
    <row r="20" spans="1:10" ht="13.5" customHeight="1" x14ac:dyDescent="0.2">
      <c r="A20" s="13" t="s">
        <v>38</v>
      </c>
      <c r="B20" s="14">
        <v>15667200</v>
      </c>
      <c r="C20" s="14">
        <v>39</v>
      </c>
      <c r="D20" s="14">
        <v>54</v>
      </c>
      <c r="E20" s="14">
        <v>76</v>
      </c>
      <c r="F20" s="14">
        <v>114</v>
      </c>
      <c r="G20" s="15">
        <v>60</v>
      </c>
      <c r="H20" s="13" t="s">
        <v>39</v>
      </c>
    </row>
    <row r="21" spans="1:10" ht="13.5" customHeight="1" x14ac:dyDescent="0.2">
      <c r="A21" s="16" t="s">
        <v>40</v>
      </c>
      <c r="B21" s="17">
        <v>31334400</v>
      </c>
      <c r="C21" s="17">
        <v>78</v>
      </c>
      <c r="D21" s="17">
        <v>108</v>
      </c>
      <c r="E21" s="17">
        <v>152</v>
      </c>
      <c r="F21" s="17">
        <v>227</v>
      </c>
      <c r="G21" s="18">
        <v>63</v>
      </c>
      <c r="H21" s="16" t="s">
        <v>41</v>
      </c>
    </row>
    <row r="22" spans="1:10" ht="13.5" customHeight="1" x14ac:dyDescent="0.2">
      <c r="A22" s="13" t="s">
        <v>42</v>
      </c>
      <c r="B22" s="14">
        <v>66846720</v>
      </c>
      <c r="C22" s="14">
        <v>114</v>
      </c>
      <c r="D22" s="14">
        <v>159</v>
      </c>
      <c r="E22" s="14">
        <v>222</v>
      </c>
      <c r="F22" s="14">
        <v>333</v>
      </c>
      <c r="G22" s="15">
        <v>90</v>
      </c>
      <c r="H22" s="13" t="s">
        <v>43</v>
      </c>
    </row>
    <row r="23" spans="1:10" ht="13.5" customHeight="1" x14ac:dyDescent="0.2">
      <c r="A23" s="16" t="s">
        <v>44</v>
      </c>
      <c r="B23" s="17">
        <v>133693440</v>
      </c>
      <c r="C23" s="17">
        <v>227</v>
      </c>
      <c r="D23" s="17">
        <v>317</v>
      </c>
      <c r="E23" s="17">
        <v>444</v>
      </c>
      <c r="F23" s="17">
        <v>666</v>
      </c>
      <c r="G23" s="18">
        <v>93</v>
      </c>
      <c r="H23" s="16" t="s">
        <v>45</v>
      </c>
    </row>
    <row r="24" spans="1:10" ht="13.5" customHeight="1" x14ac:dyDescent="0.2">
      <c r="A24" s="13" t="s">
        <v>46</v>
      </c>
      <c r="B24" s="14">
        <v>265420800</v>
      </c>
      <c r="C24" s="14">
        <v>455</v>
      </c>
      <c r="D24" s="14">
        <v>637</v>
      </c>
      <c r="E24" s="14">
        <v>892</v>
      </c>
      <c r="F24" s="14">
        <v>1338</v>
      </c>
      <c r="G24" s="15">
        <v>120</v>
      </c>
      <c r="H24" s="13" t="s">
        <v>47</v>
      </c>
    </row>
    <row r="25" spans="1:10" ht="13.5" customHeight="1" x14ac:dyDescent="0.2">
      <c r="A25" s="16" t="s">
        <v>48</v>
      </c>
      <c r="B25" s="17">
        <v>530841600</v>
      </c>
      <c r="C25" s="17">
        <v>910</v>
      </c>
      <c r="D25" s="17">
        <v>1274</v>
      </c>
      <c r="E25" s="17">
        <v>1784</v>
      </c>
      <c r="F25" s="17">
        <v>2675</v>
      </c>
      <c r="G25" s="18">
        <v>122</v>
      </c>
      <c r="H25" s="16" t="s">
        <v>49</v>
      </c>
    </row>
    <row r="26" spans="1:10" ht="13.5" customHeight="1" x14ac:dyDescent="0.2">
      <c r="A26" s="13" t="s">
        <v>50</v>
      </c>
      <c r="B26" s="14">
        <v>1061683200</v>
      </c>
      <c r="C26" s="14">
        <v>1820</v>
      </c>
      <c r="D26" s="14">
        <v>2548</v>
      </c>
      <c r="E26" s="14">
        <v>3567</v>
      </c>
      <c r="F26" s="14">
        <v>5350</v>
      </c>
      <c r="G26" s="15">
        <v>150</v>
      </c>
      <c r="H26" s="13" t="s">
        <v>51</v>
      </c>
    </row>
    <row r="27" spans="1:10" ht="13.5" customHeight="1" x14ac:dyDescent="0.2">
      <c r="A27" s="16" t="s">
        <v>52</v>
      </c>
      <c r="B27" s="17">
        <v>2123366400</v>
      </c>
      <c r="C27" s="17">
        <v>3639</v>
      </c>
      <c r="D27" s="17">
        <v>5095</v>
      </c>
      <c r="E27" s="17">
        <v>7133</v>
      </c>
      <c r="F27" s="17">
        <v>10699</v>
      </c>
      <c r="G27" s="18">
        <v>153</v>
      </c>
      <c r="H27" s="16" t="s">
        <v>53</v>
      </c>
    </row>
    <row r="28" spans="1:10" ht="13.5" customHeight="1" x14ac:dyDescent="0.2">
      <c r="A28" s="13" t="s">
        <v>54</v>
      </c>
      <c r="B28" s="14">
        <v>4777574400</v>
      </c>
      <c r="C28" s="14">
        <v>7278</v>
      </c>
      <c r="D28" s="14">
        <v>10189</v>
      </c>
      <c r="E28" s="14">
        <v>14265</v>
      </c>
      <c r="F28" s="14">
        <v>21397</v>
      </c>
      <c r="G28" s="15">
        <v>180</v>
      </c>
      <c r="H28" s="13" t="s">
        <v>55</v>
      </c>
    </row>
    <row r="29" spans="1:10" ht="13.5" customHeight="1" x14ac:dyDescent="0.2">
      <c r="A29" s="16" t="s">
        <v>56</v>
      </c>
      <c r="B29" s="17">
        <v>8493465600</v>
      </c>
      <c r="C29" s="17">
        <v>14556</v>
      </c>
      <c r="D29" s="17">
        <v>20378</v>
      </c>
      <c r="E29" s="17">
        <v>28529</v>
      </c>
      <c r="F29" s="17">
        <v>42793</v>
      </c>
      <c r="G29" s="18">
        <v>183</v>
      </c>
      <c r="H29" s="16" t="s">
        <v>57</v>
      </c>
    </row>
    <row r="30" spans="1:10" ht="13.5" customHeight="1" x14ac:dyDescent="0.2">
      <c r="A30" s="13" t="s">
        <v>58</v>
      </c>
      <c r="B30" s="14">
        <v>16986931200</v>
      </c>
      <c r="C30" s="14">
        <v>29111</v>
      </c>
      <c r="D30" s="14">
        <v>40756</v>
      </c>
      <c r="E30" s="14">
        <v>57058</v>
      </c>
      <c r="F30" s="14">
        <v>85586</v>
      </c>
      <c r="G30" s="15">
        <v>210</v>
      </c>
      <c r="H30" s="13" t="s">
        <v>59</v>
      </c>
    </row>
    <row r="32" spans="1:10" ht="18" customHeight="1" x14ac:dyDescent="0.2">
      <c r="A32" s="3" t="s">
        <v>60</v>
      </c>
      <c r="B32" s="3"/>
      <c r="C32" s="19">
        <v>3</v>
      </c>
      <c r="D32" s="2" t="s">
        <v>61</v>
      </c>
      <c r="E32" s="2"/>
      <c r="F32" s="2"/>
      <c r="G32" s="2"/>
      <c r="H32" s="2"/>
      <c r="I32" s="2"/>
      <c r="J32" s="2"/>
    </row>
    <row r="34" spans="1:24" ht="45.75" customHeight="1" x14ac:dyDescent="0.2">
      <c r="A34" s="20" t="s">
        <v>62</v>
      </c>
      <c r="B34" s="20" t="s">
        <v>63</v>
      </c>
      <c r="C34" s="20" t="s">
        <v>64</v>
      </c>
      <c r="D34" s="21" t="s">
        <v>65</v>
      </c>
      <c r="E34" s="21" t="s">
        <v>66</v>
      </c>
      <c r="F34" s="22" t="s">
        <v>67</v>
      </c>
      <c r="G34" s="22" t="s">
        <v>68</v>
      </c>
      <c r="H34" s="22" t="s">
        <v>69</v>
      </c>
      <c r="I34" s="22" t="s">
        <v>70</v>
      </c>
      <c r="J34" s="22" t="s">
        <v>71</v>
      </c>
      <c r="K34" s="22" t="s">
        <v>72</v>
      </c>
      <c r="L34" s="22" t="s">
        <v>73</v>
      </c>
      <c r="M34" s="22" t="s">
        <v>74</v>
      </c>
      <c r="N34" s="22" t="s">
        <v>75</v>
      </c>
      <c r="O34" s="22" t="s">
        <v>76</v>
      </c>
      <c r="P34" s="12" t="s">
        <v>77</v>
      </c>
      <c r="Q34" s="12" t="s">
        <v>78</v>
      </c>
      <c r="R34" s="23" t="s">
        <v>79</v>
      </c>
      <c r="S34" s="23" t="s">
        <v>80</v>
      </c>
      <c r="T34" s="23" t="s">
        <v>81</v>
      </c>
      <c r="U34" s="23" t="s">
        <v>82</v>
      </c>
      <c r="V34" s="24" t="s">
        <v>83</v>
      </c>
      <c r="W34" s="24" t="s">
        <v>84</v>
      </c>
      <c r="X34" s="24" t="s">
        <v>85</v>
      </c>
    </row>
    <row r="35" spans="1:24" ht="15.75" customHeight="1" x14ac:dyDescent="0.2">
      <c r="A35" s="25" t="s">
        <v>86</v>
      </c>
      <c r="B35" s="9">
        <v>1280</v>
      </c>
      <c r="C35" s="9">
        <v>720</v>
      </c>
      <c r="D35" s="26">
        <f>$C$3*$C$4</f>
        <v>256</v>
      </c>
      <c r="E35" s="26">
        <f>$C$3*$C$5</f>
        <v>256</v>
      </c>
      <c r="F35" s="26">
        <f>CEILING(B35/D35,1)</f>
        <v>5</v>
      </c>
      <c r="G35" s="26">
        <f>CEILING(C35/E35,1)</f>
        <v>3</v>
      </c>
      <c r="H35" s="27">
        <f>F35*G35</f>
        <v>15</v>
      </c>
      <c r="I35" s="26">
        <f>CEILING((B35/$C$6)/D35,1)*CEILING((C35/$C$7)/E35,1)</f>
        <v>15</v>
      </c>
      <c r="J35" s="27">
        <f>H35+$C$8*I35</f>
        <v>60</v>
      </c>
      <c r="K35" s="26">
        <f>(D35/8)*(E35/8)</f>
        <v>1024</v>
      </c>
      <c r="L35" s="26">
        <f>(D35/$C$6/8)*(E35/$C$7/8)</f>
        <v>1024</v>
      </c>
      <c r="M35" s="28">
        <f>H35*K35+$C$8*I35*L35</f>
        <v>61440</v>
      </c>
      <c r="N35" s="29">
        <f>B35*C35</f>
        <v>921600</v>
      </c>
      <c r="O35" s="29">
        <f>N35*$C$9</f>
        <v>55296000</v>
      </c>
      <c r="P35" s="30" t="str">
        <f>IFERROR(INDEX($A$18:$A$30,MATCH(1,($B$18:$B$30&gt;=O35)*1,0)),"&gt;")</f>
        <v>&gt;</v>
      </c>
      <c r="Q35" s="31">
        <f>IFERROR(INDEX(CHOOSE($C$32+1,$C$18:$C$30,$D$18:$D$30,$E$18:$E$30,$F$18:$F$30),MATCH(1,($B$18:$B$30&gt;=O35)*1,0)),0)</f>
        <v>0</v>
      </c>
      <c r="R35" s="32">
        <f>IFERROR(Q35*1000000/($C$9*M35),0)</f>
        <v>0</v>
      </c>
      <c r="S35" s="32">
        <f>IFERROR((R35-$C$12)/$C$11,0)</f>
        <v>-1</v>
      </c>
      <c r="T35" s="26">
        <f>$C$13</f>
        <v>127</v>
      </c>
      <c r="U35" s="32">
        <f>S35*$C$14</f>
        <v>-2</v>
      </c>
      <c r="V35" s="33">
        <f>IFERROR(CEILING(S35*M35*$C$9/$C$10*1000000,1),0)</f>
        <v>-24576000000</v>
      </c>
      <c r="W35" s="33">
        <f>IFERROR(CEILING($C$13*M35*$C$9/$C$10*1000000,1),0)</f>
        <v>3121152000000</v>
      </c>
      <c r="X35" s="34">
        <f>IFERROR(CEILING(U35*M35*$C$9/$C$10*1000000,1),0)</f>
        <v>-49152000000</v>
      </c>
    </row>
    <row r="36" spans="1:24" ht="15.75" customHeight="1" x14ac:dyDescent="0.2">
      <c r="A36" s="35" t="s">
        <v>87</v>
      </c>
      <c r="B36" s="9">
        <v>1920</v>
      </c>
      <c r="C36" s="9">
        <v>1080</v>
      </c>
      <c r="D36" s="18">
        <f>$C$3*$C$4</f>
        <v>256</v>
      </c>
      <c r="E36" s="18">
        <f>$C$3*$C$5</f>
        <v>256</v>
      </c>
      <c r="F36" s="18">
        <f>CEILING(B36/D36,1)</f>
        <v>8</v>
      </c>
      <c r="G36" s="18">
        <f>CEILING(C36/E36,1)</f>
        <v>5</v>
      </c>
      <c r="H36" s="36">
        <f>F36*G36</f>
        <v>40</v>
      </c>
      <c r="I36" s="18">
        <f>CEILING((B36/$C$6)/D36,1)*CEILING((C36/$C$7)/E36,1)</f>
        <v>40</v>
      </c>
      <c r="J36" s="36">
        <f>H36+$C$8*I36</f>
        <v>160</v>
      </c>
      <c r="K36" s="18">
        <f>(D36/8)*(E36/8)</f>
        <v>1024</v>
      </c>
      <c r="L36" s="18">
        <f>(D36/$C$6/8)*(E36/$C$7/8)</f>
        <v>1024</v>
      </c>
      <c r="M36" s="37">
        <f>H36*K36+$C$8*I36*L36</f>
        <v>163840</v>
      </c>
      <c r="N36" s="17">
        <f>B36*C36</f>
        <v>2073600</v>
      </c>
      <c r="O36" s="17">
        <f>N36*$C$9</f>
        <v>124416000</v>
      </c>
      <c r="P36" s="30" t="str">
        <f>IFERROR(INDEX($A$18:$A$30,MATCH(1,($B$18:$B$30&gt;=O36)*1,0)),"&gt;")</f>
        <v>&gt;</v>
      </c>
      <c r="Q36" s="31">
        <f>IFERROR(INDEX(CHOOSE($C$32+1,$C$18:$C$30,$D$18:$D$30,$E$18:$E$30,$F$18:$F$30),MATCH(1,($B$18:$B$30&gt;=O36)*1,0)),0)</f>
        <v>0</v>
      </c>
      <c r="R36" s="38">
        <f>IFERROR(Q36*1000000/($C$9*M36),0)</f>
        <v>0</v>
      </c>
      <c r="S36" s="38">
        <f>IFERROR((R36-$C$12)/$C$11,0)</f>
        <v>-1</v>
      </c>
      <c r="T36" s="18">
        <f>$C$13</f>
        <v>127</v>
      </c>
      <c r="U36" s="38">
        <f>S36*$C$14</f>
        <v>-2</v>
      </c>
      <c r="V36" s="33">
        <f>IFERROR(CEILING(S36*M36*$C$9/$C$10*1000000,1),0)</f>
        <v>-65536000000</v>
      </c>
      <c r="W36" s="33">
        <f>IFERROR(CEILING($C$13*M36*$C$9/$C$10*1000000,1),0)</f>
        <v>8323072000000</v>
      </c>
      <c r="X36" s="34">
        <f>IFERROR(CEILING(U36*M36*$C$9/$C$10*1000000,1),0)</f>
        <v>-131072000000</v>
      </c>
    </row>
    <row r="37" spans="1:24" ht="15.75" customHeight="1" x14ac:dyDescent="0.2">
      <c r="A37" s="25" t="s">
        <v>88</v>
      </c>
      <c r="B37" s="9">
        <v>2048</v>
      </c>
      <c r="C37" s="9">
        <v>1080</v>
      </c>
      <c r="D37" s="26">
        <f>$C$3*$C$4</f>
        <v>256</v>
      </c>
      <c r="E37" s="26">
        <f>$C$3*$C$5</f>
        <v>256</v>
      </c>
      <c r="F37" s="26">
        <f>CEILING(B37/D37,1)</f>
        <v>8</v>
      </c>
      <c r="G37" s="26">
        <f>CEILING(C37/E37,1)</f>
        <v>5</v>
      </c>
      <c r="H37" s="27">
        <f>F37*G37</f>
        <v>40</v>
      </c>
      <c r="I37" s="26">
        <f>CEILING((B37/$C$6)/D37,1)*CEILING((C37/$C$7)/E37,1)</f>
        <v>40</v>
      </c>
      <c r="J37" s="27">
        <f>H37+$C$8*I37</f>
        <v>160</v>
      </c>
      <c r="K37" s="26">
        <f>(D37/8)*(E37/8)</f>
        <v>1024</v>
      </c>
      <c r="L37" s="26">
        <f>(D37/$C$6/8)*(E37/$C$7/8)</f>
        <v>1024</v>
      </c>
      <c r="M37" s="28">
        <f>H37*K37+$C$8*I37*L37</f>
        <v>163840</v>
      </c>
      <c r="N37" s="29">
        <f>B37*C37</f>
        <v>2211840</v>
      </c>
      <c r="O37" s="29">
        <f>N37*$C$9</f>
        <v>132710400</v>
      </c>
      <c r="P37" s="30" t="str">
        <f>IFERROR(INDEX($A$18:$A$30,MATCH(1,($B$18:$B$30&gt;=O37)*1,0)),"&gt;")</f>
        <v>&gt;</v>
      </c>
      <c r="Q37" s="31">
        <f>IFERROR(INDEX(CHOOSE($C$32+1,$C$18:$C$30,$D$18:$D$30,$E$18:$E$30,$F$18:$F$30),MATCH(1,($B$18:$B$30&gt;=O37)*1,0)),0)</f>
        <v>0</v>
      </c>
      <c r="R37" s="32">
        <f>IFERROR(Q37*1000000/($C$9*M37),0)</f>
        <v>0</v>
      </c>
      <c r="S37" s="32">
        <f>IFERROR((R37-$C$12)/$C$11,0)</f>
        <v>-1</v>
      </c>
      <c r="T37" s="26">
        <f>$C$13</f>
        <v>127</v>
      </c>
      <c r="U37" s="32">
        <f>S37*$C$14</f>
        <v>-2</v>
      </c>
      <c r="V37" s="33">
        <f>IFERROR(CEILING(S37*M37*$C$9/$C$10*1000000,1),0)</f>
        <v>-65536000000</v>
      </c>
      <c r="W37" s="33">
        <f>IFERROR(CEILING($C$13*M37*$C$9/$C$10*1000000,1),0)</f>
        <v>8323072000000</v>
      </c>
      <c r="X37" s="34">
        <f>IFERROR(CEILING(U37*M37*$C$9/$C$10*1000000,1),0)</f>
        <v>-131072000000</v>
      </c>
    </row>
    <row r="38" spans="1:24" ht="15.75" customHeight="1" x14ac:dyDescent="0.2">
      <c r="A38" s="35" t="s">
        <v>89</v>
      </c>
      <c r="B38" s="9">
        <v>3840</v>
      </c>
      <c r="C38" s="9">
        <v>2160</v>
      </c>
      <c r="D38" s="18">
        <f>$C$3*$C$4</f>
        <v>256</v>
      </c>
      <c r="E38" s="18">
        <f>$C$3*$C$5</f>
        <v>256</v>
      </c>
      <c r="F38" s="18">
        <f>CEILING(B38/D38,1)</f>
        <v>15</v>
      </c>
      <c r="G38" s="18">
        <f>CEILING(C38/E38,1)</f>
        <v>9</v>
      </c>
      <c r="H38" s="36">
        <f>F38*G38</f>
        <v>135</v>
      </c>
      <c r="I38" s="18">
        <f>CEILING((B38/$C$6)/D38,1)*CEILING((C38/$C$7)/E38,1)</f>
        <v>135</v>
      </c>
      <c r="J38" s="36">
        <f>H38+$C$8*I38</f>
        <v>540</v>
      </c>
      <c r="K38" s="18">
        <f>(D38/8)*(E38/8)</f>
        <v>1024</v>
      </c>
      <c r="L38" s="18">
        <f>(D38/$C$6/8)*(E38/$C$7/8)</f>
        <v>1024</v>
      </c>
      <c r="M38" s="37">
        <f>H38*K38+$C$8*I38*L38</f>
        <v>552960</v>
      </c>
      <c r="N38" s="17">
        <f>B38*C38</f>
        <v>8294400</v>
      </c>
      <c r="O38" s="17">
        <f>N38*$C$9</f>
        <v>497664000</v>
      </c>
      <c r="P38" s="30" t="str">
        <f>IFERROR(INDEX($A$18:$A$30,MATCH(1,($B$18:$B$30&gt;=O38)*1,0)),"&gt;")</f>
        <v>&gt;</v>
      </c>
      <c r="Q38" s="31">
        <f>IFERROR(INDEX(CHOOSE($C$32+1,$C$18:$C$30,$D$18:$D$30,$E$18:$E$30,$F$18:$F$30),MATCH(1,($B$18:$B$30&gt;=O38)*1,0)),0)</f>
        <v>0</v>
      </c>
      <c r="R38" s="38">
        <f>IFERROR(Q38*1000000/($C$9*M38),0)</f>
        <v>0</v>
      </c>
      <c r="S38" s="38">
        <f>IFERROR((R38-$C$12)/$C$11,0)</f>
        <v>-1</v>
      </c>
      <c r="T38" s="18">
        <f>$C$13</f>
        <v>127</v>
      </c>
      <c r="U38" s="38">
        <f>S38*$C$14</f>
        <v>-2</v>
      </c>
      <c r="V38" s="33">
        <f>IFERROR(CEILING(S38*M38*$C$9/$C$10*1000000,1),0)</f>
        <v>-221184000000</v>
      </c>
      <c r="W38" s="33">
        <f>IFERROR(CEILING($C$13*M38*$C$9/$C$10*1000000,1),0)</f>
        <v>28090368000000</v>
      </c>
      <c r="X38" s="34">
        <f>IFERROR(CEILING(U38*M38*$C$9/$C$10*1000000,1),0)</f>
        <v>-442368000000</v>
      </c>
    </row>
    <row r="39" spans="1:24" ht="15.75" customHeight="1" x14ac:dyDescent="0.2">
      <c r="A39" s="25" t="s">
        <v>90</v>
      </c>
      <c r="B39" s="9">
        <v>4096</v>
      </c>
      <c r="C39" s="9">
        <v>2160</v>
      </c>
      <c r="D39" s="26">
        <f>$C$3*$C$4</f>
        <v>256</v>
      </c>
      <c r="E39" s="26">
        <f>$C$3*$C$5</f>
        <v>256</v>
      </c>
      <c r="F39" s="26">
        <f>CEILING(B39/D39,1)</f>
        <v>16</v>
      </c>
      <c r="G39" s="26">
        <f>CEILING(C39/E39,1)</f>
        <v>9</v>
      </c>
      <c r="H39" s="27">
        <f>F39*G39</f>
        <v>144</v>
      </c>
      <c r="I39" s="26">
        <f>CEILING((B39/$C$6)/D39,1)*CEILING((C39/$C$7)/E39,1)</f>
        <v>144</v>
      </c>
      <c r="J39" s="27">
        <f>H39+$C$8*I39</f>
        <v>576</v>
      </c>
      <c r="K39" s="26">
        <f>(D39/8)*(E39/8)</f>
        <v>1024</v>
      </c>
      <c r="L39" s="26">
        <f>(D39/$C$6/8)*(E39/$C$7/8)</f>
        <v>1024</v>
      </c>
      <c r="M39" s="28">
        <f>H39*K39+$C$8*I39*L39</f>
        <v>589824</v>
      </c>
      <c r="N39" s="29">
        <f>B39*C39</f>
        <v>8847360</v>
      </c>
      <c r="O39" s="29">
        <f>N39*$C$9</f>
        <v>530841600</v>
      </c>
      <c r="P39" s="30" t="str">
        <f>IFERROR(INDEX($A$18:$A$30,MATCH(1,($B$18:$B$30&gt;=O39)*1,0)),"&gt;")</f>
        <v>&gt;</v>
      </c>
      <c r="Q39" s="31">
        <f>IFERROR(INDEX(CHOOSE($C$32+1,$C$18:$C$30,$D$18:$D$30,$E$18:$E$30,$F$18:$F$30),MATCH(1,($B$18:$B$30&gt;=O39)*1,0)),0)</f>
        <v>0</v>
      </c>
      <c r="R39" s="32">
        <f>IFERROR(Q39*1000000/($C$9*M39),0)</f>
        <v>0</v>
      </c>
      <c r="S39" s="32">
        <f>IFERROR((R39-$C$12)/$C$11,0)</f>
        <v>-1</v>
      </c>
      <c r="T39" s="26">
        <f>$C$13</f>
        <v>127</v>
      </c>
      <c r="U39" s="32">
        <f>S39*$C$14</f>
        <v>-2</v>
      </c>
      <c r="V39" s="33">
        <f>IFERROR(CEILING(S39*M39*$C$9/$C$10*1000000,1),0)</f>
        <v>-235929600000</v>
      </c>
      <c r="W39" s="33">
        <f>IFERROR(CEILING($C$13*M39*$C$9/$C$10*1000000,1),0)</f>
        <v>29963059200000</v>
      </c>
      <c r="X39" s="34">
        <f>IFERROR(CEILING(U39*M39*$C$9/$C$10*1000000,1),0)</f>
        <v>-471859200000</v>
      </c>
    </row>
    <row r="40" spans="1:24" ht="15.75" customHeight="1" x14ac:dyDescent="0.2">
      <c r="A40" s="35" t="s">
        <v>91</v>
      </c>
      <c r="B40" s="9">
        <v>7680</v>
      </c>
      <c r="C40" s="9">
        <v>4320</v>
      </c>
      <c r="D40" s="18">
        <f>$C$3*$C$4</f>
        <v>256</v>
      </c>
      <c r="E40" s="18">
        <f>$C$3*$C$5</f>
        <v>256</v>
      </c>
      <c r="F40" s="18">
        <f>CEILING(B40/D40,1)</f>
        <v>30</v>
      </c>
      <c r="G40" s="18">
        <f>CEILING(C40/E40,1)</f>
        <v>17</v>
      </c>
      <c r="H40" s="36">
        <f>F40*G40</f>
        <v>510</v>
      </c>
      <c r="I40" s="18">
        <f>CEILING((B40/$C$6)/D40,1)*CEILING((C40/$C$7)/E40,1)</f>
        <v>510</v>
      </c>
      <c r="J40" s="36">
        <f>H40+$C$8*I40</f>
        <v>2040</v>
      </c>
      <c r="K40" s="18">
        <f>(D40/8)*(E40/8)</f>
        <v>1024</v>
      </c>
      <c r="L40" s="18">
        <f>(D40/$C$6/8)*(E40/$C$7/8)</f>
        <v>1024</v>
      </c>
      <c r="M40" s="37">
        <f>H40*K40+$C$8*I40*L40</f>
        <v>2088960</v>
      </c>
      <c r="N40" s="17">
        <f>B40*C40</f>
        <v>33177600</v>
      </c>
      <c r="O40" s="17">
        <f>N40*$C$9</f>
        <v>1990656000</v>
      </c>
      <c r="P40" s="30" t="str">
        <f>IFERROR(INDEX($A$18:$A$30,MATCH(1,($B$18:$B$30&gt;=O40)*1,0)),"&gt;")</f>
        <v>&gt;</v>
      </c>
      <c r="Q40" s="31">
        <f>IFERROR(INDEX(CHOOSE($C$32+1,$C$18:$C$30,$D$18:$D$30,$E$18:$E$30,$F$18:$F$30),MATCH(1,($B$18:$B$30&gt;=O40)*1,0)),0)</f>
        <v>0</v>
      </c>
      <c r="R40" s="38">
        <f>IFERROR(Q40*1000000/($C$9*M40),0)</f>
        <v>0</v>
      </c>
      <c r="S40" s="38">
        <f>IFERROR((R40-$C$12)/$C$11,0)</f>
        <v>-1</v>
      </c>
      <c r="T40" s="18">
        <f>$C$13</f>
        <v>127</v>
      </c>
      <c r="U40" s="38">
        <f>S40*$C$14</f>
        <v>-2</v>
      </c>
      <c r="V40" s="33">
        <f>IFERROR(CEILING(S40*M40*$C$9/$C$10*1000000,1),0)</f>
        <v>-835584000000</v>
      </c>
      <c r="W40" s="33">
        <f>IFERROR(CEILING($C$13*M40*$C$9/$C$10*1000000,1),0)</f>
        <v>106119168000000</v>
      </c>
      <c r="X40" s="34">
        <f>IFERROR(CEILING(U40*M40*$C$9/$C$10*1000000,1),0)</f>
        <v>-1671168000000</v>
      </c>
    </row>
    <row r="41" spans="1:24" ht="15.75" customHeight="1" x14ac:dyDescent="0.2">
      <c r="A41" s="25" t="s">
        <v>92</v>
      </c>
      <c r="B41" s="9">
        <v>8192</v>
      </c>
      <c r="C41" s="9">
        <v>4320</v>
      </c>
      <c r="D41" s="26">
        <f>$C$3*$C$4</f>
        <v>256</v>
      </c>
      <c r="E41" s="26">
        <f>$C$3*$C$5</f>
        <v>256</v>
      </c>
      <c r="F41" s="26">
        <f>CEILING(B41/D41,1)</f>
        <v>32</v>
      </c>
      <c r="G41" s="26">
        <f>CEILING(C41/E41,1)</f>
        <v>17</v>
      </c>
      <c r="H41" s="27">
        <f>F41*G41</f>
        <v>544</v>
      </c>
      <c r="I41" s="26">
        <f>CEILING((B41/$C$6)/D41,1)*CEILING((C41/$C$7)/E41,1)</f>
        <v>544</v>
      </c>
      <c r="J41" s="27">
        <f>H41+$C$8*I41</f>
        <v>2176</v>
      </c>
      <c r="K41" s="26">
        <f>(D41/8)*(E41/8)</f>
        <v>1024</v>
      </c>
      <c r="L41" s="26">
        <f>(D41/$C$6/8)*(E41/$C$7/8)</f>
        <v>1024</v>
      </c>
      <c r="M41" s="28">
        <f>H41*K41+$C$8*I41*L41</f>
        <v>2228224</v>
      </c>
      <c r="N41" s="29">
        <f>B41*C41</f>
        <v>35389440</v>
      </c>
      <c r="O41" s="29">
        <f>N41*$C$9</f>
        <v>2123366400</v>
      </c>
      <c r="P41" s="30" t="str">
        <f>IFERROR(INDEX($A$18:$A$30,MATCH(1,($B$18:$B$30&gt;=O41)*1,0)),"&gt;")</f>
        <v>&gt;</v>
      </c>
      <c r="Q41" s="31">
        <f>IFERROR(INDEX(CHOOSE($C$32+1,$C$18:$C$30,$D$18:$D$30,$E$18:$E$30,$F$18:$F$30),MATCH(1,($B$18:$B$30&gt;=O41)*1,0)),0)</f>
        <v>0</v>
      </c>
      <c r="R41" s="32">
        <f>IFERROR(Q41*1000000/($C$9*M41),0)</f>
        <v>0</v>
      </c>
      <c r="S41" s="32">
        <f>IFERROR((R41-$C$12)/$C$11,0)</f>
        <v>-1</v>
      </c>
      <c r="T41" s="26">
        <f>$C$13</f>
        <v>127</v>
      </c>
      <c r="U41" s="32">
        <f>S41*$C$14</f>
        <v>-2</v>
      </c>
      <c r="V41" s="33">
        <f>IFERROR(CEILING(S41*M41*$C$9/$C$10*1000000,1),0)</f>
        <v>-891289600000</v>
      </c>
      <c r="W41" s="33">
        <f>IFERROR(CEILING($C$13*M41*$C$9/$C$10*1000000,1),0)</f>
        <v>113193779200000</v>
      </c>
      <c r="X41" s="34">
        <f>IFERROR(CEILING(U41*M41*$C$9/$C$10*1000000,1),0)</f>
        <v>-1782579200000</v>
      </c>
    </row>
    <row r="44" spans="1:24" ht="13.5" customHeight="1" x14ac:dyDescent="0.2">
      <c r="A44" s="1" t="s">
        <v>93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</sheetData>
  <mergeCells count="30">
    <mergeCell ref="A44:X44"/>
    <mergeCell ref="A14:B14"/>
    <mergeCell ref="D14:J14"/>
    <mergeCell ref="A16:I16"/>
    <mergeCell ref="A32:B32"/>
    <mergeCell ref="D32:J32"/>
    <mergeCell ref="A11:B11"/>
    <mergeCell ref="D11:J11"/>
    <mergeCell ref="A12:B12"/>
    <mergeCell ref="D12:J12"/>
    <mergeCell ref="A13:B13"/>
    <mergeCell ref="D13:J13"/>
    <mergeCell ref="A8:B8"/>
    <mergeCell ref="D8:J8"/>
    <mergeCell ref="A9:B9"/>
    <mergeCell ref="D9:J9"/>
    <mergeCell ref="A10:B10"/>
    <mergeCell ref="D10:J10"/>
    <mergeCell ref="A5:B5"/>
    <mergeCell ref="D5:J5"/>
    <mergeCell ref="A6:B6"/>
    <mergeCell ref="D6:J6"/>
    <mergeCell ref="A7:B7"/>
    <mergeCell ref="D7:J7"/>
    <mergeCell ref="A1:X1"/>
    <mergeCell ref="A2:J2"/>
    <mergeCell ref="A3:B3"/>
    <mergeCell ref="D3:J3"/>
    <mergeCell ref="A4:B4"/>
    <mergeCell ref="D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4"/>
  <sheetViews>
    <sheetView zoomScaleNormal="100" workbookViewId="0">
      <pane xSplit="3" ySplit="34" topLeftCell="D35" activePane="bottomRight" state="frozen"/>
      <selection pane="bottomLeft" activeCell="A35" sqref="A35"/>
      <selection pane="topRight" activeCell="D1" sqref="D1"/>
      <selection pane="bottomRight"/>
    </sheetView>
  </sheetViews>
  <sheetFormatPr defaultColWidth="8.7421875" defaultRowHeight="15" x14ac:dyDescent="0.2"/>
  <cols>
    <col min="1" max="1" width="13.046875" customWidth="1"/>
    <col min="2" max="3" width="7.93359375" customWidth="1"/>
    <col min="4" max="8" width="6.9921875" customWidth="1"/>
    <col min="9" max="9" width="9.01171875" customWidth="1"/>
    <col min="10" max="10" width="6.9921875" customWidth="1"/>
    <col min="11" max="12" width="7.93359375" customWidth="1"/>
    <col min="13" max="14" width="9.953125" customWidth="1"/>
    <col min="15" max="15" width="11.02734375" customWidth="1"/>
    <col min="16" max="16" width="6.9921875" customWidth="1"/>
    <col min="17" max="17" width="9.953125" customWidth="1"/>
    <col min="18" max="18" width="7.93359375" customWidth="1"/>
    <col min="19" max="21" width="9.01171875" customWidth="1"/>
    <col min="22" max="23" width="7.93359375" customWidth="1"/>
    <col min="24" max="24" width="9.01171875" customWidth="1"/>
  </cols>
  <sheetData>
    <row r="1" spans="1:24" ht="21.75" customHeight="1" x14ac:dyDescent="0.2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24" ht="15" customHeight="1" x14ac:dyDescent="0.2">
      <c r="A3" s="6" t="s">
        <v>2</v>
      </c>
      <c r="B3" s="6"/>
      <c r="C3" s="9">
        <v>16</v>
      </c>
      <c r="D3" s="5" t="s">
        <v>3</v>
      </c>
      <c r="E3" s="5"/>
      <c r="F3" s="5"/>
      <c r="G3" s="5"/>
      <c r="H3" s="5"/>
      <c r="I3" s="5"/>
      <c r="J3" s="5"/>
    </row>
    <row r="4" spans="1:24" ht="15" customHeight="1" x14ac:dyDescent="0.2">
      <c r="A4" s="6" t="s">
        <v>4</v>
      </c>
      <c r="B4" s="6"/>
      <c r="C4" s="9">
        <v>16</v>
      </c>
      <c r="D4" s="5" t="s">
        <v>5</v>
      </c>
      <c r="E4" s="5"/>
      <c r="F4" s="5"/>
      <c r="G4" s="5"/>
      <c r="H4" s="5"/>
      <c r="I4" s="5"/>
      <c r="J4" s="5"/>
    </row>
    <row r="5" spans="1:24" ht="15" customHeight="1" x14ac:dyDescent="0.2">
      <c r="A5" s="6" t="s">
        <v>6</v>
      </c>
      <c r="B5" s="6"/>
      <c r="C5" s="9">
        <v>16</v>
      </c>
      <c r="D5" s="5" t="s">
        <v>5</v>
      </c>
      <c r="E5" s="5"/>
      <c r="F5" s="5"/>
      <c r="G5" s="5"/>
      <c r="H5" s="5"/>
      <c r="I5" s="5"/>
      <c r="J5" s="5"/>
    </row>
    <row r="6" spans="1:24" ht="15" customHeight="1" x14ac:dyDescent="0.2">
      <c r="A6" s="6" t="s">
        <v>99</v>
      </c>
      <c r="B6" s="6"/>
      <c r="C6" s="9">
        <v>1</v>
      </c>
      <c r="D6" s="5" t="s">
        <v>8</v>
      </c>
      <c r="E6" s="5"/>
      <c r="F6" s="5"/>
      <c r="G6" s="5"/>
      <c r="H6" s="5"/>
      <c r="I6" s="5"/>
      <c r="J6" s="5"/>
    </row>
    <row r="7" spans="1:24" ht="15" customHeight="1" x14ac:dyDescent="0.2">
      <c r="A7" s="6" t="s">
        <v>100</v>
      </c>
      <c r="B7" s="6"/>
      <c r="C7" s="9">
        <v>1</v>
      </c>
      <c r="D7" s="5" t="s">
        <v>10</v>
      </c>
      <c r="E7" s="5"/>
      <c r="F7" s="5"/>
      <c r="G7" s="5"/>
      <c r="H7" s="5"/>
      <c r="I7" s="5"/>
      <c r="J7" s="5"/>
    </row>
    <row r="8" spans="1:24" ht="15" customHeight="1" x14ac:dyDescent="0.2">
      <c r="A8" s="6" t="s">
        <v>101</v>
      </c>
      <c r="B8" s="6"/>
      <c r="C8" s="9">
        <v>4</v>
      </c>
      <c r="D8" s="5" t="s">
        <v>12</v>
      </c>
      <c r="E8" s="5"/>
      <c r="F8" s="5"/>
      <c r="G8" s="5"/>
      <c r="H8" s="5"/>
      <c r="I8" s="5"/>
      <c r="J8" s="5"/>
    </row>
    <row r="9" spans="1:24" ht="15" customHeight="1" x14ac:dyDescent="0.2">
      <c r="A9" s="6" t="s">
        <v>13</v>
      </c>
      <c r="B9" s="6"/>
      <c r="C9" s="9">
        <v>60</v>
      </c>
      <c r="D9" s="5" t="s">
        <v>14</v>
      </c>
      <c r="E9" s="5"/>
      <c r="F9" s="5"/>
      <c r="G9" s="5"/>
      <c r="H9" s="5"/>
      <c r="I9" s="5"/>
      <c r="J9" s="5"/>
    </row>
    <row r="10" spans="1:24" ht="15" customHeight="1" x14ac:dyDescent="0.2">
      <c r="A10" s="6" t="s">
        <v>15</v>
      </c>
      <c r="B10" s="6"/>
      <c r="C10" s="10">
        <v>150</v>
      </c>
      <c r="D10" s="5" t="s">
        <v>16</v>
      </c>
      <c r="E10" s="5"/>
      <c r="F10" s="5"/>
      <c r="G10" s="5"/>
      <c r="H10" s="5"/>
      <c r="I10" s="5"/>
      <c r="J10" s="5"/>
    </row>
    <row r="11" spans="1:24" ht="15" customHeight="1" x14ac:dyDescent="0.2">
      <c r="A11" s="6" t="s">
        <v>17</v>
      </c>
      <c r="B11" s="6"/>
      <c r="C11" s="9">
        <v>6</v>
      </c>
      <c r="D11" s="5" t="s">
        <v>18</v>
      </c>
      <c r="E11" s="5"/>
      <c r="F11" s="5"/>
      <c r="G11" s="5"/>
      <c r="H11" s="5"/>
      <c r="I11" s="5"/>
      <c r="J11" s="5"/>
    </row>
    <row r="12" spans="1:24" ht="15" customHeight="1" x14ac:dyDescent="0.2">
      <c r="A12" s="6" t="s">
        <v>19</v>
      </c>
      <c r="B12" s="6"/>
      <c r="C12" s="9">
        <v>6</v>
      </c>
      <c r="D12" s="5" t="s">
        <v>20</v>
      </c>
      <c r="E12" s="5"/>
      <c r="F12" s="5"/>
      <c r="G12" s="5"/>
      <c r="H12" s="5"/>
      <c r="I12" s="5"/>
      <c r="J12" s="5"/>
    </row>
    <row r="13" spans="1:24" ht="15" customHeight="1" x14ac:dyDescent="0.2">
      <c r="A13" s="6" t="s">
        <v>21</v>
      </c>
      <c r="B13" s="6"/>
      <c r="C13" s="9">
        <v>127</v>
      </c>
      <c r="D13" s="5" t="s">
        <v>22</v>
      </c>
      <c r="E13" s="5"/>
      <c r="F13" s="5"/>
      <c r="G13" s="5"/>
      <c r="H13" s="5"/>
      <c r="I13" s="5"/>
      <c r="J13" s="5"/>
    </row>
    <row r="14" spans="1:24" ht="15" customHeight="1" x14ac:dyDescent="0.2">
      <c r="A14" s="6" t="s">
        <v>23</v>
      </c>
      <c r="B14" s="6"/>
      <c r="C14" s="11">
        <v>2</v>
      </c>
      <c r="D14" s="5" t="s">
        <v>24</v>
      </c>
      <c r="E14" s="5"/>
      <c r="F14" s="5"/>
      <c r="G14" s="5"/>
      <c r="H14" s="5"/>
      <c r="I14" s="5"/>
      <c r="J14" s="5"/>
    </row>
    <row r="16" spans="1:24" ht="15.75" customHeight="1" x14ac:dyDescent="0.2">
      <c r="A16" s="4" t="s">
        <v>25</v>
      </c>
      <c r="B16" s="4"/>
      <c r="C16" s="4"/>
      <c r="D16" s="4"/>
      <c r="E16" s="4"/>
      <c r="F16" s="4"/>
      <c r="G16" s="4"/>
      <c r="H16" s="4"/>
      <c r="I16" s="4"/>
    </row>
    <row r="17" spans="1:10" ht="33.75" customHeight="1" x14ac:dyDescent="0.2">
      <c r="A17" s="12" t="s">
        <v>26</v>
      </c>
      <c r="B17" s="12" t="s">
        <v>27</v>
      </c>
      <c r="C17" s="12" t="s">
        <v>28</v>
      </c>
      <c r="D17" s="12" t="s">
        <v>29</v>
      </c>
      <c r="E17" s="12" t="s">
        <v>30</v>
      </c>
      <c r="F17" s="12" t="s">
        <v>31</v>
      </c>
      <c r="G17" s="12" t="s">
        <v>32</v>
      </c>
      <c r="H17" s="12" t="s">
        <v>33</v>
      </c>
    </row>
    <row r="18" spans="1:10" ht="13.5" customHeight="1" x14ac:dyDescent="0.2">
      <c r="A18" s="13" t="s">
        <v>34</v>
      </c>
      <c r="B18" s="14">
        <v>3041280</v>
      </c>
      <c r="C18" s="14">
        <v>8</v>
      </c>
      <c r="D18" s="14">
        <v>11</v>
      </c>
      <c r="E18" s="14">
        <v>15</v>
      </c>
      <c r="F18" s="14">
        <v>23</v>
      </c>
      <c r="G18" s="15">
        <v>30</v>
      </c>
      <c r="H18" s="13" t="s">
        <v>35</v>
      </c>
    </row>
    <row r="19" spans="1:10" ht="13.5" customHeight="1" x14ac:dyDescent="0.2">
      <c r="A19" s="16" t="s">
        <v>36</v>
      </c>
      <c r="B19" s="17">
        <v>6082560</v>
      </c>
      <c r="C19" s="17">
        <v>16</v>
      </c>
      <c r="D19" s="17">
        <v>21</v>
      </c>
      <c r="E19" s="17">
        <v>30</v>
      </c>
      <c r="F19" s="17">
        <v>45</v>
      </c>
      <c r="G19" s="18">
        <v>33</v>
      </c>
      <c r="H19" s="16" t="s">
        <v>37</v>
      </c>
    </row>
    <row r="20" spans="1:10" ht="13.5" customHeight="1" x14ac:dyDescent="0.2">
      <c r="A20" s="13" t="s">
        <v>38</v>
      </c>
      <c r="B20" s="14">
        <v>15667200</v>
      </c>
      <c r="C20" s="14">
        <v>39</v>
      </c>
      <c r="D20" s="14">
        <v>54</v>
      </c>
      <c r="E20" s="14">
        <v>76</v>
      </c>
      <c r="F20" s="14">
        <v>114</v>
      </c>
      <c r="G20" s="15">
        <v>60</v>
      </c>
      <c r="H20" s="13" t="s">
        <v>39</v>
      </c>
    </row>
    <row r="21" spans="1:10" ht="13.5" customHeight="1" x14ac:dyDescent="0.2">
      <c r="A21" s="16" t="s">
        <v>40</v>
      </c>
      <c r="B21" s="17">
        <v>31334400</v>
      </c>
      <c r="C21" s="17">
        <v>78</v>
      </c>
      <c r="D21" s="17">
        <v>108</v>
      </c>
      <c r="E21" s="17">
        <v>152</v>
      </c>
      <c r="F21" s="17">
        <v>227</v>
      </c>
      <c r="G21" s="18">
        <v>63</v>
      </c>
      <c r="H21" s="16" t="s">
        <v>41</v>
      </c>
    </row>
    <row r="22" spans="1:10" ht="13.5" customHeight="1" x14ac:dyDescent="0.2">
      <c r="A22" s="13" t="s">
        <v>42</v>
      </c>
      <c r="B22" s="14">
        <v>66846720</v>
      </c>
      <c r="C22" s="14">
        <v>114</v>
      </c>
      <c r="D22" s="14">
        <v>159</v>
      </c>
      <c r="E22" s="14">
        <v>222</v>
      </c>
      <c r="F22" s="14">
        <v>333</v>
      </c>
      <c r="G22" s="15">
        <v>90</v>
      </c>
      <c r="H22" s="13" t="s">
        <v>43</v>
      </c>
    </row>
    <row r="23" spans="1:10" ht="13.5" customHeight="1" x14ac:dyDescent="0.2">
      <c r="A23" s="16" t="s">
        <v>44</v>
      </c>
      <c r="B23" s="17">
        <v>133693440</v>
      </c>
      <c r="C23" s="17">
        <v>227</v>
      </c>
      <c r="D23" s="17">
        <v>317</v>
      </c>
      <c r="E23" s="17">
        <v>444</v>
      </c>
      <c r="F23" s="17">
        <v>666</v>
      </c>
      <c r="G23" s="18">
        <v>93</v>
      </c>
      <c r="H23" s="16" t="s">
        <v>45</v>
      </c>
    </row>
    <row r="24" spans="1:10" ht="13.5" customHeight="1" x14ac:dyDescent="0.2">
      <c r="A24" s="13" t="s">
        <v>46</v>
      </c>
      <c r="B24" s="14">
        <v>265420800</v>
      </c>
      <c r="C24" s="14">
        <v>455</v>
      </c>
      <c r="D24" s="14">
        <v>637</v>
      </c>
      <c r="E24" s="14">
        <v>892</v>
      </c>
      <c r="F24" s="14">
        <v>1338</v>
      </c>
      <c r="G24" s="15">
        <v>120</v>
      </c>
      <c r="H24" s="13" t="s">
        <v>47</v>
      </c>
    </row>
    <row r="25" spans="1:10" ht="13.5" customHeight="1" x14ac:dyDescent="0.2">
      <c r="A25" s="16" t="s">
        <v>48</v>
      </c>
      <c r="B25" s="17">
        <v>530841600</v>
      </c>
      <c r="C25" s="17">
        <v>910</v>
      </c>
      <c r="D25" s="17">
        <v>1274</v>
      </c>
      <c r="E25" s="17">
        <v>1784</v>
      </c>
      <c r="F25" s="17">
        <v>2675</v>
      </c>
      <c r="G25" s="18">
        <v>122</v>
      </c>
      <c r="H25" s="16" t="s">
        <v>49</v>
      </c>
    </row>
    <row r="26" spans="1:10" ht="13.5" customHeight="1" x14ac:dyDescent="0.2">
      <c r="A26" s="13" t="s">
        <v>50</v>
      </c>
      <c r="B26" s="14">
        <v>1061683200</v>
      </c>
      <c r="C26" s="14">
        <v>1820</v>
      </c>
      <c r="D26" s="14">
        <v>2548</v>
      </c>
      <c r="E26" s="14">
        <v>3567</v>
      </c>
      <c r="F26" s="14">
        <v>5350</v>
      </c>
      <c r="G26" s="15">
        <v>150</v>
      </c>
      <c r="H26" s="13" t="s">
        <v>51</v>
      </c>
    </row>
    <row r="27" spans="1:10" ht="13.5" customHeight="1" x14ac:dyDescent="0.2">
      <c r="A27" s="16" t="s">
        <v>52</v>
      </c>
      <c r="B27" s="17">
        <v>2123366400</v>
      </c>
      <c r="C27" s="17">
        <v>3639</v>
      </c>
      <c r="D27" s="17">
        <v>5095</v>
      </c>
      <c r="E27" s="17">
        <v>7133</v>
      </c>
      <c r="F27" s="17">
        <v>10699</v>
      </c>
      <c r="G27" s="18">
        <v>153</v>
      </c>
      <c r="H27" s="16" t="s">
        <v>53</v>
      </c>
    </row>
    <row r="28" spans="1:10" ht="13.5" customHeight="1" x14ac:dyDescent="0.2">
      <c r="A28" s="13" t="s">
        <v>54</v>
      </c>
      <c r="B28" s="14">
        <v>4777574400</v>
      </c>
      <c r="C28" s="14">
        <v>7278</v>
      </c>
      <c r="D28" s="14">
        <v>10189</v>
      </c>
      <c r="E28" s="14">
        <v>14265</v>
      </c>
      <c r="F28" s="14">
        <v>21397</v>
      </c>
      <c r="G28" s="15">
        <v>180</v>
      </c>
      <c r="H28" s="13" t="s">
        <v>55</v>
      </c>
    </row>
    <row r="29" spans="1:10" ht="13.5" customHeight="1" x14ac:dyDescent="0.2">
      <c r="A29" s="16" t="s">
        <v>56</v>
      </c>
      <c r="B29" s="17">
        <v>8493465600</v>
      </c>
      <c r="C29" s="17">
        <v>14556</v>
      </c>
      <c r="D29" s="17">
        <v>20378</v>
      </c>
      <c r="E29" s="17">
        <v>28529</v>
      </c>
      <c r="F29" s="17">
        <v>42793</v>
      </c>
      <c r="G29" s="18">
        <v>183</v>
      </c>
      <c r="H29" s="16" t="s">
        <v>57</v>
      </c>
    </row>
    <row r="30" spans="1:10" ht="13.5" customHeight="1" x14ac:dyDescent="0.2">
      <c r="A30" s="13" t="s">
        <v>58</v>
      </c>
      <c r="B30" s="14">
        <v>16986931200</v>
      </c>
      <c r="C30" s="14">
        <v>29111</v>
      </c>
      <c r="D30" s="14">
        <v>40756</v>
      </c>
      <c r="E30" s="14">
        <v>57058</v>
      </c>
      <c r="F30" s="14">
        <v>85586</v>
      </c>
      <c r="G30" s="15">
        <v>210</v>
      </c>
      <c r="H30" s="13" t="s">
        <v>59</v>
      </c>
    </row>
    <row r="32" spans="1:10" ht="18" customHeight="1" x14ac:dyDescent="0.2">
      <c r="A32" s="3" t="s">
        <v>60</v>
      </c>
      <c r="B32" s="3"/>
      <c r="C32" s="19">
        <v>3</v>
      </c>
      <c r="D32" s="2" t="s">
        <v>61</v>
      </c>
      <c r="E32" s="2"/>
      <c r="F32" s="2"/>
      <c r="G32" s="2"/>
      <c r="H32" s="2"/>
      <c r="I32" s="2"/>
      <c r="J32" s="2"/>
    </row>
    <row r="34" spans="1:24" ht="45.75" customHeight="1" x14ac:dyDescent="0.2">
      <c r="A34" s="20" t="s">
        <v>62</v>
      </c>
      <c r="B34" s="20" t="s">
        <v>63</v>
      </c>
      <c r="C34" s="20" t="s">
        <v>64</v>
      </c>
      <c r="D34" s="21" t="s">
        <v>65</v>
      </c>
      <c r="E34" s="21" t="s">
        <v>66</v>
      </c>
      <c r="F34" s="22" t="s">
        <v>67</v>
      </c>
      <c r="G34" s="22" t="s">
        <v>68</v>
      </c>
      <c r="H34" s="22" t="s">
        <v>69</v>
      </c>
      <c r="I34" s="22" t="s">
        <v>70</v>
      </c>
      <c r="J34" s="22" t="s">
        <v>71</v>
      </c>
      <c r="K34" s="22" t="s">
        <v>72</v>
      </c>
      <c r="L34" s="22" t="s">
        <v>73</v>
      </c>
      <c r="M34" s="22" t="s">
        <v>74</v>
      </c>
      <c r="N34" s="22" t="s">
        <v>75</v>
      </c>
      <c r="O34" s="22" t="s">
        <v>76</v>
      </c>
      <c r="P34" s="12" t="s">
        <v>77</v>
      </c>
      <c r="Q34" s="12" t="s">
        <v>78</v>
      </c>
      <c r="R34" s="23" t="s">
        <v>79</v>
      </c>
      <c r="S34" s="23" t="s">
        <v>80</v>
      </c>
      <c r="T34" s="23" t="s">
        <v>81</v>
      </c>
      <c r="U34" s="23" t="s">
        <v>82</v>
      </c>
      <c r="V34" s="24" t="s">
        <v>83</v>
      </c>
      <c r="W34" s="24" t="s">
        <v>84</v>
      </c>
      <c r="X34" s="24" t="s">
        <v>85</v>
      </c>
    </row>
    <row r="35" spans="1:24" ht="15.75" customHeight="1" x14ac:dyDescent="0.2">
      <c r="A35" s="25" t="s">
        <v>86</v>
      </c>
      <c r="B35" s="9">
        <v>1280</v>
      </c>
      <c r="C35" s="9">
        <v>720</v>
      </c>
      <c r="D35" s="26">
        <f>$C$3*$C$4</f>
        <v>256</v>
      </c>
      <c r="E35" s="26">
        <f>$C$3*$C$5</f>
        <v>256</v>
      </c>
      <c r="F35" s="26">
        <f>CEILING(B35/D35,1)</f>
        <v>5</v>
      </c>
      <c r="G35" s="26">
        <f>CEILING(C35/E35,1)</f>
        <v>3</v>
      </c>
      <c r="H35" s="27">
        <f>F35*G35</f>
        <v>15</v>
      </c>
      <c r="I35" s="26">
        <f>CEILING((B35/$C$6)/D35,1)*CEILING((C35/$C$7)/E35,1)</f>
        <v>15</v>
      </c>
      <c r="J35" s="27">
        <f>H35+$C$8*I35</f>
        <v>75</v>
      </c>
      <c r="K35" s="26">
        <f>(D35/8)*(E35/8)</f>
        <v>1024</v>
      </c>
      <c r="L35" s="26">
        <f>(D35/$C$6/8)*(E35/$C$7/8)</f>
        <v>1024</v>
      </c>
      <c r="M35" s="28">
        <f>H35*K35+$C$8*I35*L35</f>
        <v>76800</v>
      </c>
      <c r="N35" s="29">
        <f>B35*C35</f>
        <v>921600</v>
      </c>
      <c r="O35" s="29">
        <f>N35*$C$9</f>
        <v>55296000</v>
      </c>
      <c r="P35" s="30" t="str">
        <f>IFERROR(INDEX($A$18:$A$30,MATCH(1,($B$18:$B$30&gt;=O35)*1,0)),"&gt;")</f>
        <v>&gt;</v>
      </c>
      <c r="Q35" s="31">
        <f>IFERROR(INDEX(CHOOSE($C$32+1,$C$18:$C$30,$D$18:$D$30,$E$18:$E$30,$F$18:$F$30),MATCH(1,($B$18:$B$30&gt;=O35)*1,0)),0)</f>
        <v>0</v>
      </c>
      <c r="R35" s="32">
        <f>IFERROR(Q35*1000000/($C$9*M35),0)</f>
        <v>0</v>
      </c>
      <c r="S35" s="32">
        <f>IFERROR((R35-$C$12)/$C$11,0)</f>
        <v>-1</v>
      </c>
      <c r="T35" s="26">
        <f>$C$13</f>
        <v>127</v>
      </c>
      <c r="U35" s="32">
        <f>S35*$C$14</f>
        <v>-2</v>
      </c>
      <c r="V35" s="33">
        <f>IFERROR(CEILING(S35*M35*$C$9/$C$10*1000000,1),0)</f>
        <v>-30720000000</v>
      </c>
      <c r="W35" s="33">
        <f>IFERROR(CEILING($C$13*M35*$C$9/$C$10*1000000,1),0)</f>
        <v>3901440000000</v>
      </c>
      <c r="X35" s="34">
        <f>IFERROR(CEILING(U35*M35*$C$9/$C$10*1000000,1),0)</f>
        <v>-61440000000</v>
      </c>
    </row>
    <row r="36" spans="1:24" ht="15.75" customHeight="1" x14ac:dyDescent="0.2">
      <c r="A36" s="35" t="s">
        <v>87</v>
      </c>
      <c r="B36" s="9">
        <v>1920</v>
      </c>
      <c r="C36" s="9">
        <v>1080</v>
      </c>
      <c r="D36" s="18">
        <f>$C$3*$C$4</f>
        <v>256</v>
      </c>
      <c r="E36" s="18">
        <f>$C$3*$C$5</f>
        <v>256</v>
      </c>
      <c r="F36" s="18">
        <f>CEILING(B36/D36,1)</f>
        <v>8</v>
      </c>
      <c r="G36" s="18">
        <f>CEILING(C36/E36,1)</f>
        <v>5</v>
      </c>
      <c r="H36" s="36">
        <f>F36*G36</f>
        <v>40</v>
      </c>
      <c r="I36" s="18">
        <f>CEILING((B36/$C$6)/D36,1)*CEILING((C36/$C$7)/E36,1)</f>
        <v>40</v>
      </c>
      <c r="J36" s="36">
        <f>H36+$C$8*I36</f>
        <v>200</v>
      </c>
      <c r="K36" s="18">
        <f>(D36/8)*(E36/8)</f>
        <v>1024</v>
      </c>
      <c r="L36" s="18">
        <f>(D36/$C$6/8)*(E36/$C$7/8)</f>
        <v>1024</v>
      </c>
      <c r="M36" s="37">
        <f>H36*K36+$C$8*I36*L36</f>
        <v>204800</v>
      </c>
      <c r="N36" s="17">
        <f>B36*C36</f>
        <v>2073600</v>
      </c>
      <c r="O36" s="17">
        <f>N36*$C$9</f>
        <v>124416000</v>
      </c>
      <c r="P36" s="30" t="str">
        <f>IFERROR(INDEX($A$18:$A$30,MATCH(1,($B$18:$B$30&gt;=O36)*1,0)),"&gt;")</f>
        <v>&gt;</v>
      </c>
      <c r="Q36" s="31">
        <f>IFERROR(INDEX(CHOOSE($C$32+1,$C$18:$C$30,$D$18:$D$30,$E$18:$E$30,$F$18:$F$30),MATCH(1,($B$18:$B$30&gt;=O36)*1,0)),0)</f>
        <v>0</v>
      </c>
      <c r="R36" s="38">
        <f>IFERROR(Q36*1000000/($C$9*M36),0)</f>
        <v>0</v>
      </c>
      <c r="S36" s="38">
        <f>IFERROR((R36-$C$12)/$C$11,0)</f>
        <v>-1</v>
      </c>
      <c r="T36" s="18">
        <f>$C$13</f>
        <v>127</v>
      </c>
      <c r="U36" s="38">
        <f>S36*$C$14</f>
        <v>-2</v>
      </c>
      <c r="V36" s="33">
        <f>IFERROR(CEILING(S36*M36*$C$9/$C$10*1000000,1),0)</f>
        <v>-81920000000</v>
      </c>
      <c r="W36" s="33">
        <f>IFERROR(CEILING($C$13*M36*$C$9/$C$10*1000000,1),0)</f>
        <v>10403840000000</v>
      </c>
      <c r="X36" s="34">
        <f>IFERROR(CEILING(U36*M36*$C$9/$C$10*1000000,1),0)</f>
        <v>-163840000000</v>
      </c>
    </row>
    <row r="37" spans="1:24" ht="15.75" customHeight="1" x14ac:dyDescent="0.2">
      <c r="A37" s="25" t="s">
        <v>88</v>
      </c>
      <c r="B37" s="9">
        <v>2048</v>
      </c>
      <c r="C37" s="9">
        <v>1080</v>
      </c>
      <c r="D37" s="26">
        <f>$C$3*$C$4</f>
        <v>256</v>
      </c>
      <c r="E37" s="26">
        <f>$C$3*$C$5</f>
        <v>256</v>
      </c>
      <c r="F37" s="26">
        <f>CEILING(B37/D37,1)</f>
        <v>8</v>
      </c>
      <c r="G37" s="26">
        <f>CEILING(C37/E37,1)</f>
        <v>5</v>
      </c>
      <c r="H37" s="27">
        <f>F37*G37</f>
        <v>40</v>
      </c>
      <c r="I37" s="26">
        <f>CEILING((B37/$C$6)/D37,1)*CEILING((C37/$C$7)/E37,1)</f>
        <v>40</v>
      </c>
      <c r="J37" s="27">
        <f>H37+$C$8*I37</f>
        <v>200</v>
      </c>
      <c r="K37" s="26">
        <f>(D37/8)*(E37/8)</f>
        <v>1024</v>
      </c>
      <c r="L37" s="26">
        <f>(D37/$C$6/8)*(E37/$C$7/8)</f>
        <v>1024</v>
      </c>
      <c r="M37" s="28">
        <f>H37*K37+$C$8*I37*L37</f>
        <v>204800</v>
      </c>
      <c r="N37" s="29">
        <f>B37*C37</f>
        <v>2211840</v>
      </c>
      <c r="O37" s="29">
        <f>N37*$C$9</f>
        <v>132710400</v>
      </c>
      <c r="P37" s="30" t="str">
        <f>IFERROR(INDEX($A$18:$A$30,MATCH(1,($B$18:$B$30&gt;=O37)*1,0)),"&gt;")</f>
        <v>&gt;</v>
      </c>
      <c r="Q37" s="31">
        <f>IFERROR(INDEX(CHOOSE($C$32+1,$C$18:$C$30,$D$18:$D$30,$E$18:$E$30,$F$18:$F$30),MATCH(1,($B$18:$B$30&gt;=O37)*1,0)),0)</f>
        <v>0</v>
      </c>
      <c r="R37" s="32">
        <f>IFERROR(Q37*1000000/($C$9*M37),0)</f>
        <v>0</v>
      </c>
      <c r="S37" s="32">
        <f>IFERROR((R37-$C$12)/$C$11,0)</f>
        <v>-1</v>
      </c>
      <c r="T37" s="26">
        <f>$C$13</f>
        <v>127</v>
      </c>
      <c r="U37" s="32">
        <f>S37*$C$14</f>
        <v>-2</v>
      </c>
      <c r="V37" s="33">
        <f>IFERROR(CEILING(S37*M37*$C$9/$C$10*1000000,1),0)</f>
        <v>-81920000000</v>
      </c>
      <c r="W37" s="33">
        <f>IFERROR(CEILING($C$13*M37*$C$9/$C$10*1000000,1),0)</f>
        <v>10403840000000</v>
      </c>
      <c r="X37" s="34">
        <f>IFERROR(CEILING(U37*M37*$C$9/$C$10*1000000,1),0)</f>
        <v>-163840000000</v>
      </c>
    </row>
    <row r="38" spans="1:24" ht="15.75" customHeight="1" x14ac:dyDescent="0.2">
      <c r="A38" s="35" t="s">
        <v>89</v>
      </c>
      <c r="B38" s="9">
        <v>3840</v>
      </c>
      <c r="C38" s="9">
        <v>2160</v>
      </c>
      <c r="D38" s="18">
        <f>$C$3*$C$4</f>
        <v>256</v>
      </c>
      <c r="E38" s="18">
        <f>$C$3*$C$5</f>
        <v>256</v>
      </c>
      <c r="F38" s="18">
        <f>CEILING(B38/D38,1)</f>
        <v>15</v>
      </c>
      <c r="G38" s="18">
        <f>CEILING(C38/E38,1)</f>
        <v>9</v>
      </c>
      <c r="H38" s="36">
        <f>F38*G38</f>
        <v>135</v>
      </c>
      <c r="I38" s="18">
        <f>CEILING((B38/$C$6)/D38,1)*CEILING((C38/$C$7)/E38,1)</f>
        <v>135</v>
      </c>
      <c r="J38" s="36">
        <f>H38+$C$8*I38</f>
        <v>675</v>
      </c>
      <c r="K38" s="18">
        <f>(D38/8)*(E38/8)</f>
        <v>1024</v>
      </c>
      <c r="L38" s="18">
        <f>(D38/$C$6/8)*(E38/$C$7/8)</f>
        <v>1024</v>
      </c>
      <c r="M38" s="37">
        <f>H38*K38+$C$8*I38*L38</f>
        <v>691200</v>
      </c>
      <c r="N38" s="17">
        <f>B38*C38</f>
        <v>8294400</v>
      </c>
      <c r="O38" s="17">
        <f>N38*$C$9</f>
        <v>497664000</v>
      </c>
      <c r="P38" s="30" t="str">
        <f>IFERROR(INDEX($A$18:$A$30,MATCH(1,($B$18:$B$30&gt;=O38)*1,0)),"&gt;")</f>
        <v>&gt;</v>
      </c>
      <c r="Q38" s="31">
        <f>IFERROR(INDEX(CHOOSE($C$32+1,$C$18:$C$30,$D$18:$D$30,$E$18:$E$30,$F$18:$F$30),MATCH(1,($B$18:$B$30&gt;=O38)*1,0)),0)</f>
        <v>0</v>
      </c>
      <c r="R38" s="38">
        <f>IFERROR(Q38*1000000/($C$9*M38),0)</f>
        <v>0</v>
      </c>
      <c r="S38" s="38">
        <f>IFERROR((R38-$C$12)/$C$11,0)</f>
        <v>-1</v>
      </c>
      <c r="T38" s="18">
        <f>$C$13</f>
        <v>127</v>
      </c>
      <c r="U38" s="38">
        <f>S38*$C$14</f>
        <v>-2</v>
      </c>
      <c r="V38" s="33">
        <f>IFERROR(CEILING(S38*M38*$C$9/$C$10*1000000,1),0)</f>
        <v>-276480000000</v>
      </c>
      <c r="W38" s="33">
        <f>IFERROR(CEILING($C$13*M38*$C$9/$C$10*1000000,1),0)</f>
        <v>35112960000000</v>
      </c>
      <c r="X38" s="34">
        <f>IFERROR(CEILING(U38*M38*$C$9/$C$10*1000000,1),0)</f>
        <v>-552960000000</v>
      </c>
    </row>
    <row r="39" spans="1:24" ht="15.75" customHeight="1" x14ac:dyDescent="0.2">
      <c r="A39" s="25" t="s">
        <v>90</v>
      </c>
      <c r="B39" s="9">
        <v>4096</v>
      </c>
      <c r="C39" s="9">
        <v>2160</v>
      </c>
      <c r="D39" s="26">
        <f>$C$3*$C$4</f>
        <v>256</v>
      </c>
      <c r="E39" s="26">
        <f>$C$3*$C$5</f>
        <v>256</v>
      </c>
      <c r="F39" s="26">
        <f>CEILING(B39/D39,1)</f>
        <v>16</v>
      </c>
      <c r="G39" s="26">
        <f>CEILING(C39/E39,1)</f>
        <v>9</v>
      </c>
      <c r="H39" s="27">
        <f>F39*G39</f>
        <v>144</v>
      </c>
      <c r="I39" s="26">
        <f>CEILING((B39/$C$6)/D39,1)*CEILING((C39/$C$7)/E39,1)</f>
        <v>144</v>
      </c>
      <c r="J39" s="27">
        <f>H39+$C$8*I39</f>
        <v>720</v>
      </c>
      <c r="K39" s="26">
        <f>(D39/8)*(E39/8)</f>
        <v>1024</v>
      </c>
      <c r="L39" s="26">
        <f>(D39/$C$6/8)*(E39/$C$7/8)</f>
        <v>1024</v>
      </c>
      <c r="M39" s="28">
        <f>H39*K39+$C$8*I39*L39</f>
        <v>737280</v>
      </c>
      <c r="N39" s="29">
        <f>B39*C39</f>
        <v>8847360</v>
      </c>
      <c r="O39" s="29">
        <f>N39*$C$9</f>
        <v>530841600</v>
      </c>
      <c r="P39" s="30" t="str">
        <f>IFERROR(INDEX($A$18:$A$30,MATCH(1,($B$18:$B$30&gt;=O39)*1,0)),"&gt;")</f>
        <v>&gt;</v>
      </c>
      <c r="Q39" s="31">
        <f>IFERROR(INDEX(CHOOSE($C$32+1,$C$18:$C$30,$D$18:$D$30,$E$18:$E$30,$F$18:$F$30),MATCH(1,($B$18:$B$30&gt;=O39)*1,0)),0)</f>
        <v>0</v>
      </c>
      <c r="R39" s="32">
        <f>IFERROR(Q39*1000000/($C$9*M39),0)</f>
        <v>0</v>
      </c>
      <c r="S39" s="32">
        <f>IFERROR((R39-$C$12)/$C$11,0)</f>
        <v>-1</v>
      </c>
      <c r="T39" s="26">
        <f>$C$13</f>
        <v>127</v>
      </c>
      <c r="U39" s="32">
        <f>S39*$C$14</f>
        <v>-2</v>
      </c>
      <c r="V39" s="33">
        <f>IFERROR(CEILING(S39*M39*$C$9/$C$10*1000000,1),0)</f>
        <v>-294912000000</v>
      </c>
      <c r="W39" s="33">
        <f>IFERROR(CEILING($C$13*M39*$C$9/$C$10*1000000,1),0)</f>
        <v>37453824000000</v>
      </c>
      <c r="X39" s="34">
        <f>IFERROR(CEILING(U39*M39*$C$9/$C$10*1000000,1),0)</f>
        <v>-589824000000</v>
      </c>
    </row>
    <row r="40" spans="1:24" ht="15.75" customHeight="1" x14ac:dyDescent="0.2">
      <c r="A40" s="35" t="s">
        <v>91</v>
      </c>
      <c r="B40" s="9">
        <v>7680</v>
      </c>
      <c r="C40" s="9">
        <v>4320</v>
      </c>
      <c r="D40" s="18">
        <f>$C$3*$C$4</f>
        <v>256</v>
      </c>
      <c r="E40" s="18">
        <f>$C$3*$C$5</f>
        <v>256</v>
      </c>
      <c r="F40" s="18">
        <f>CEILING(B40/D40,1)</f>
        <v>30</v>
      </c>
      <c r="G40" s="18">
        <f>CEILING(C40/E40,1)</f>
        <v>17</v>
      </c>
      <c r="H40" s="36">
        <f>F40*G40</f>
        <v>510</v>
      </c>
      <c r="I40" s="18">
        <f>CEILING((B40/$C$6)/D40,1)*CEILING((C40/$C$7)/E40,1)</f>
        <v>510</v>
      </c>
      <c r="J40" s="36">
        <f>H40+$C$8*I40</f>
        <v>2550</v>
      </c>
      <c r="K40" s="18">
        <f>(D40/8)*(E40/8)</f>
        <v>1024</v>
      </c>
      <c r="L40" s="18">
        <f>(D40/$C$6/8)*(E40/$C$7/8)</f>
        <v>1024</v>
      </c>
      <c r="M40" s="37">
        <f>H40*K40+$C$8*I40*L40</f>
        <v>2611200</v>
      </c>
      <c r="N40" s="17">
        <f>B40*C40</f>
        <v>33177600</v>
      </c>
      <c r="O40" s="17">
        <f>N40*$C$9</f>
        <v>1990656000</v>
      </c>
      <c r="P40" s="30" t="str">
        <f>IFERROR(INDEX($A$18:$A$30,MATCH(1,($B$18:$B$30&gt;=O40)*1,0)),"&gt;")</f>
        <v>&gt;</v>
      </c>
      <c r="Q40" s="31">
        <f>IFERROR(INDEX(CHOOSE($C$32+1,$C$18:$C$30,$D$18:$D$30,$E$18:$E$30,$F$18:$F$30),MATCH(1,($B$18:$B$30&gt;=O40)*1,0)),0)</f>
        <v>0</v>
      </c>
      <c r="R40" s="38">
        <f>IFERROR(Q40*1000000/($C$9*M40),0)</f>
        <v>0</v>
      </c>
      <c r="S40" s="38">
        <f>IFERROR((R40-$C$12)/$C$11,0)</f>
        <v>-1</v>
      </c>
      <c r="T40" s="18">
        <f>$C$13</f>
        <v>127</v>
      </c>
      <c r="U40" s="38">
        <f>S40*$C$14</f>
        <v>-2</v>
      </c>
      <c r="V40" s="33">
        <f>IFERROR(CEILING(S40*M40*$C$9/$C$10*1000000,1),0)</f>
        <v>-1044480000000</v>
      </c>
      <c r="W40" s="33">
        <f>IFERROR(CEILING($C$13*M40*$C$9/$C$10*1000000,1),0)</f>
        <v>132648960000000</v>
      </c>
      <c r="X40" s="34">
        <f>IFERROR(CEILING(U40*M40*$C$9/$C$10*1000000,1),0)</f>
        <v>-2088960000000</v>
      </c>
    </row>
    <row r="41" spans="1:24" ht="15.75" customHeight="1" x14ac:dyDescent="0.2">
      <c r="A41" s="25" t="s">
        <v>92</v>
      </c>
      <c r="B41" s="9">
        <v>8192</v>
      </c>
      <c r="C41" s="9">
        <v>4320</v>
      </c>
      <c r="D41" s="26">
        <f>$C$3*$C$4</f>
        <v>256</v>
      </c>
      <c r="E41" s="26">
        <f>$C$3*$C$5</f>
        <v>256</v>
      </c>
      <c r="F41" s="26">
        <f>CEILING(B41/D41,1)</f>
        <v>32</v>
      </c>
      <c r="G41" s="26">
        <f>CEILING(C41/E41,1)</f>
        <v>17</v>
      </c>
      <c r="H41" s="27">
        <f>F41*G41</f>
        <v>544</v>
      </c>
      <c r="I41" s="26">
        <f>CEILING((B41/$C$6)/D41,1)*CEILING((C41/$C$7)/E41,1)</f>
        <v>544</v>
      </c>
      <c r="J41" s="27">
        <f>H41+$C$8*I41</f>
        <v>2720</v>
      </c>
      <c r="K41" s="26">
        <f>(D41/8)*(E41/8)</f>
        <v>1024</v>
      </c>
      <c r="L41" s="26">
        <f>(D41/$C$6/8)*(E41/$C$7/8)</f>
        <v>1024</v>
      </c>
      <c r="M41" s="28">
        <f>H41*K41+$C$8*I41*L41</f>
        <v>2785280</v>
      </c>
      <c r="N41" s="29">
        <f>B41*C41</f>
        <v>35389440</v>
      </c>
      <c r="O41" s="29">
        <f>N41*$C$9</f>
        <v>2123366400</v>
      </c>
      <c r="P41" s="30" t="str">
        <f>IFERROR(INDEX($A$18:$A$30,MATCH(1,($B$18:$B$30&gt;=O41)*1,0)),"&gt;")</f>
        <v>&gt;</v>
      </c>
      <c r="Q41" s="31">
        <f>IFERROR(INDEX(CHOOSE($C$32+1,$C$18:$C$30,$D$18:$D$30,$E$18:$E$30,$F$18:$F$30),MATCH(1,($B$18:$B$30&gt;=O41)*1,0)),0)</f>
        <v>0</v>
      </c>
      <c r="R41" s="32">
        <f>IFERROR(Q41*1000000/($C$9*M41),0)</f>
        <v>0</v>
      </c>
      <c r="S41" s="32">
        <f>IFERROR((R41-$C$12)/$C$11,0)</f>
        <v>-1</v>
      </c>
      <c r="T41" s="26">
        <f>$C$13</f>
        <v>127</v>
      </c>
      <c r="U41" s="32">
        <f>S41*$C$14</f>
        <v>-2</v>
      </c>
      <c r="V41" s="33">
        <f>IFERROR(CEILING(S41*M41*$C$9/$C$10*1000000,1),0)</f>
        <v>-1114112000000</v>
      </c>
      <c r="W41" s="33">
        <f>IFERROR(CEILING($C$13*M41*$C$9/$C$10*1000000,1),0)</f>
        <v>141492224000000</v>
      </c>
      <c r="X41" s="34">
        <f>IFERROR(CEILING(U41*M41*$C$9/$C$10*1000000,1),0)</f>
        <v>-2228224000000</v>
      </c>
    </row>
    <row r="44" spans="1:24" ht="13.5" customHeight="1" x14ac:dyDescent="0.2">
      <c r="A44" s="1" t="s">
        <v>93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</sheetData>
  <mergeCells count="30">
    <mergeCell ref="A44:X44"/>
    <mergeCell ref="A14:B14"/>
    <mergeCell ref="D14:J14"/>
    <mergeCell ref="A16:I16"/>
    <mergeCell ref="A32:B32"/>
    <mergeCell ref="D32:J32"/>
    <mergeCell ref="A11:B11"/>
    <mergeCell ref="D11:J11"/>
    <mergeCell ref="A12:B12"/>
    <mergeCell ref="D12:J12"/>
    <mergeCell ref="A13:B13"/>
    <mergeCell ref="D13:J13"/>
    <mergeCell ref="A8:B8"/>
    <mergeCell ref="D8:J8"/>
    <mergeCell ref="A9:B9"/>
    <mergeCell ref="D9:J9"/>
    <mergeCell ref="A10:B10"/>
    <mergeCell ref="D10:J10"/>
    <mergeCell ref="A5:B5"/>
    <mergeCell ref="D5:J5"/>
    <mergeCell ref="A6:B6"/>
    <mergeCell ref="D6:J6"/>
    <mergeCell ref="A7:B7"/>
    <mergeCell ref="D7:J7"/>
    <mergeCell ref="A1:X1"/>
    <mergeCell ref="A2:J2"/>
    <mergeCell ref="A3:B3"/>
    <mergeCell ref="D3:J3"/>
    <mergeCell ref="A4:B4"/>
    <mergeCell ref="D4:J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4-2-2</vt:lpstr>
      <vt:lpstr>4-4-4</vt:lpstr>
      <vt:lpstr>4-4-4-4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2026-07-19T10:58:54Z</dcterms:created>
  <dcterms:modified xsi:type="dcterms:W3CDTF">2026-07-19T10:58:54Z</dcterms:modified>
  <dc:language>en-US</dc:language>
</cp:coreProperties>
</file>